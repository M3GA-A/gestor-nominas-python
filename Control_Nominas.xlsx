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/>
  <mc:AlternateContent xmlns:mc="http://schemas.openxmlformats.org/markup-compatibility/2006">
    <mc:Choice Requires="x15">
      <x15ac:absPath xmlns:x15ac="http://schemas.microsoft.com/office/spreadsheetml/2010/11/ac" url="/Users/naiaramega/Desktop/"/>
    </mc:Choice>
  </mc:AlternateContent>
  <xr:revisionPtr revIDLastSave="0" documentId="13_ncr:1_{D5EDA272-C055-5D41-AF07-8B9C1F824A5A}" xr6:coauthVersionLast="47" xr6:coauthVersionMax="47" xr10:uidLastSave="{00000000-0000-0000-0000-000000000000}"/>
  <bookViews>
    <workbookView xWindow="2480" yWindow="660" windowWidth="27760" windowHeight="17180" activeTab="3" xr2:uid="{00000000-000D-0000-FFFF-FFFF00000000}"/>
  </bookViews>
  <sheets>
    <sheet name="T.D." sheetId="3" r:id="rId1"/>
    <sheet name="T.D. (0)" sheetId="9" r:id="rId2"/>
    <sheet name="T.D.2" sheetId="4" r:id="rId3"/>
    <sheet name="T.D.3" sheetId="5" r:id="rId4"/>
    <sheet name="T.D.4" sheetId="7" r:id="rId5"/>
    <sheet name="Empleados" sheetId="1" r:id="rId6"/>
  </sheets>
  <definedNames>
    <definedName name="_xlnm._FilterDatabase" localSheetId="0" hidden="1">'T.D.'!$A$6:$D$41</definedName>
    <definedName name="_xlnm._FilterDatabase" localSheetId="1" hidden="1">'T.D. (0)'!$A$6:$D$41</definedName>
    <definedName name="_xlnm._FilterDatabase" localSheetId="2" hidden="1">'T.D.2'!$A$3:$E$72</definedName>
    <definedName name="_xlnm._FilterDatabase" localSheetId="3" hidden="1">'T.D.3'!$A$4:$E$39</definedName>
    <definedName name="_xlnm._FilterDatabase" localSheetId="4" hidden="1">'T.D.4'!$A$4:$H$39</definedName>
    <definedName name="SegmentaciónDeDatos_Antiguedad">#N/A</definedName>
    <definedName name="SegmentaciónDeDatos_Cargas_familiares">#N/A</definedName>
    <definedName name="SegmentaciónDeDatos_Cargo">#N/A</definedName>
    <definedName name="SegmentaciónDeDatos_IRPF">#N/A</definedName>
  </definedNames>
  <calcPr calcId="191029"/>
  <pivotCaches>
    <pivotCache cacheId="5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  <c r="C36" i="1" l="1"/>
  <c r="G36" i="1"/>
  <c r="H36" i="1"/>
  <c r="J36" i="1"/>
  <c r="K36" i="1"/>
  <c r="I2" i="1"/>
  <c r="N2" i="1" s="1"/>
  <c r="I3" i="1"/>
  <c r="N3" i="1" s="1"/>
  <c r="I4" i="1"/>
  <c r="N4" i="1" s="1"/>
  <c r="I22" i="1"/>
  <c r="N22" i="1" s="1"/>
  <c r="I23" i="1"/>
  <c r="N23" i="1" s="1"/>
  <c r="I33" i="1"/>
  <c r="N33" i="1" s="1"/>
  <c r="I5" i="1"/>
  <c r="N5" i="1" s="1"/>
  <c r="I34" i="1"/>
  <c r="N34" i="1" s="1"/>
  <c r="I24" i="1"/>
  <c r="N24" i="1" s="1"/>
  <c r="I35" i="1"/>
  <c r="N35" i="1" s="1"/>
  <c r="I25" i="1"/>
  <c r="N25" i="1" s="1"/>
  <c r="I32" i="1"/>
  <c r="N32" i="1" s="1"/>
  <c r="I26" i="1"/>
  <c r="N26" i="1" s="1"/>
  <c r="I6" i="1"/>
  <c r="N6" i="1" s="1"/>
  <c r="I27" i="1"/>
  <c r="N27" i="1" s="1"/>
  <c r="I28" i="1"/>
  <c r="N28" i="1" s="1"/>
  <c r="I29" i="1"/>
  <c r="N29" i="1" s="1"/>
  <c r="I30" i="1"/>
  <c r="N30" i="1" s="1"/>
  <c r="I7" i="1"/>
  <c r="N7" i="1" s="1"/>
  <c r="I8" i="1"/>
  <c r="N8" i="1" s="1"/>
  <c r="I9" i="1"/>
  <c r="N9" i="1" s="1"/>
  <c r="I10" i="1"/>
  <c r="N10" i="1" s="1"/>
  <c r="I11" i="1"/>
  <c r="N11" i="1" s="1"/>
  <c r="I12" i="1"/>
  <c r="N12" i="1" s="1"/>
  <c r="I13" i="1"/>
  <c r="N13" i="1" s="1"/>
  <c r="I31" i="1"/>
  <c r="N31" i="1" s="1"/>
  <c r="I14" i="1"/>
  <c r="N14" i="1" s="1"/>
  <c r="I15" i="1"/>
  <c r="N15" i="1" s="1"/>
  <c r="I16" i="1"/>
  <c r="N16" i="1" s="1"/>
  <c r="I17" i="1"/>
  <c r="N17" i="1" s="1"/>
  <c r="I18" i="1"/>
  <c r="N18" i="1" s="1"/>
  <c r="I19" i="1"/>
  <c r="N19" i="1" s="1"/>
  <c r="I20" i="1"/>
  <c r="N20" i="1" s="1"/>
  <c r="I21" i="1"/>
  <c r="N21" i="1" s="1"/>
  <c r="M3" i="1"/>
  <c r="M4" i="1"/>
  <c r="M22" i="1"/>
  <c r="M23" i="1"/>
  <c r="M33" i="1"/>
  <c r="M5" i="1"/>
  <c r="M34" i="1"/>
  <c r="M24" i="1"/>
  <c r="M35" i="1"/>
  <c r="M25" i="1"/>
  <c r="M32" i="1"/>
  <c r="M26" i="1"/>
  <c r="M6" i="1"/>
  <c r="M27" i="1"/>
  <c r="M28" i="1"/>
  <c r="M29" i="1"/>
  <c r="M30" i="1"/>
  <c r="M7" i="1"/>
  <c r="M8" i="1"/>
  <c r="M9" i="1"/>
  <c r="M10" i="1"/>
  <c r="M11" i="1"/>
  <c r="M12" i="1"/>
  <c r="M13" i="1"/>
  <c r="M31" i="1"/>
  <c r="M14" i="1"/>
  <c r="M15" i="1"/>
  <c r="M16" i="1"/>
  <c r="M17" i="1"/>
  <c r="M18" i="1"/>
  <c r="M19" i="1"/>
  <c r="M20" i="1"/>
  <c r="M21" i="1"/>
  <c r="M2" i="1"/>
  <c r="M36" i="1" l="1"/>
  <c r="N36" i="1"/>
  <c r="I36" i="1"/>
</calcChain>
</file>

<file path=xl/sharedStrings.xml><?xml version="1.0" encoding="utf-8"?>
<sst xmlns="http://schemas.openxmlformats.org/spreadsheetml/2006/main" count="673" uniqueCount="161">
  <si>
    <t>Código empleado</t>
  </si>
  <si>
    <t>Nombre</t>
  </si>
  <si>
    <t>Apellidos</t>
  </si>
  <si>
    <t>Fecha de ingreso</t>
  </si>
  <si>
    <t>Cargo</t>
  </si>
  <si>
    <t>Precio hora</t>
  </si>
  <si>
    <t>IRPF</t>
  </si>
  <si>
    <t>Cargas familiares</t>
  </si>
  <si>
    <t>Anton</t>
  </si>
  <si>
    <t>Savelev</t>
  </si>
  <si>
    <t>12/12/2024</t>
  </si>
  <si>
    <t>Técnico</t>
  </si>
  <si>
    <t>Otros</t>
  </si>
  <si>
    <t>45678900A</t>
  </si>
  <si>
    <t>Pedro Antonio</t>
  </si>
  <si>
    <t>Garcia Moreno</t>
  </si>
  <si>
    <t>Mando intermedio</t>
  </si>
  <si>
    <t>Dos hijos</t>
  </si>
  <si>
    <t>34567890C</t>
  </si>
  <si>
    <t>Luisa</t>
  </si>
  <si>
    <t>Berdat Montes</t>
  </si>
  <si>
    <t>Un hijo</t>
  </si>
  <si>
    <t>33567890L</t>
  </si>
  <si>
    <t xml:space="preserve">Andres </t>
  </si>
  <si>
    <t>Bueno Manzón</t>
  </si>
  <si>
    <t>57890356A</t>
  </si>
  <si>
    <t>Joan</t>
  </si>
  <si>
    <t>Pi Mendez</t>
  </si>
  <si>
    <t>Director</t>
  </si>
  <si>
    <t>56789211B</t>
  </si>
  <si>
    <t>34567983J</t>
  </si>
  <si>
    <t>Antonia</t>
  </si>
  <si>
    <t>Dominguez Marti</t>
  </si>
  <si>
    <t>45678900L</t>
  </si>
  <si>
    <t xml:space="preserve">Alfredo </t>
  </si>
  <si>
    <t>Torres Marcos</t>
  </si>
  <si>
    <t>67890345G</t>
  </si>
  <si>
    <t>Berdat Gutierrez</t>
  </si>
  <si>
    <t>Recepcionista</t>
  </si>
  <si>
    <t>34578900J</t>
  </si>
  <si>
    <t>Antonio Luis</t>
  </si>
  <si>
    <t>Robla Mendieta</t>
  </si>
  <si>
    <t>Administrativo</t>
  </si>
  <si>
    <t>23456112A</t>
  </si>
  <si>
    <t xml:space="preserve">Carlos </t>
  </si>
  <si>
    <t>Mesa Gonzalez</t>
  </si>
  <si>
    <t>34890678J</t>
  </si>
  <si>
    <t>Javier</t>
  </si>
  <si>
    <t xml:space="preserve"> Gomez Fuentes</t>
  </si>
  <si>
    <t>Desarrollador IA</t>
  </si>
  <si>
    <t>78900567C</t>
  </si>
  <si>
    <t>Maria Flor</t>
  </si>
  <si>
    <t>Nieves Montero</t>
  </si>
  <si>
    <t>Conserjeria</t>
  </si>
  <si>
    <t>58567459A</t>
  </si>
  <si>
    <t>Jose Maria</t>
  </si>
  <si>
    <t>Dominguez Bertran</t>
  </si>
  <si>
    <t>34765349A</t>
  </si>
  <si>
    <t>Antonio Jesus</t>
  </si>
  <si>
    <t>Fuentes Lopèz</t>
  </si>
  <si>
    <t>25330835S</t>
  </si>
  <si>
    <t>Lucia</t>
  </si>
  <si>
    <t>Gómez Fernández</t>
  </si>
  <si>
    <t>07/04/2021</t>
  </si>
  <si>
    <t>Familia numerosa</t>
  </si>
  <si>
    <t>08400077V</t>
  </si>
  <si>
    <t>Manuel</t>
  </si>
  <si>
    <t>Moreno López</t>
  </si>
  <si>
    <t>07/03/2021</t>
  </si>
  <si>
    <t>Operario</t>
  </si>
  <si>
    <t>Sin hijos</t>
  </si>
  <si>
    <t>38545081W</t>
  </si>
  <si>
    <t>Isabel</t>
  </si>
  <si>
    <t>Jiménez Muñoz</t>
  </si>
  <si>
    <t>21/02/2021</t>
  </si>
  <si>
    <t>33003538X</t>
  </si>
  <si>
    <t>David</t>
  </si>
  <si>
    <t>Sánchez Romero</t>
  </si>
  <si>
    <t>28/03/2021</t>
  </si>
  <si>
    <t>Coordinador</t>
  </si>
  <si>
    <t>63115979T</t>
  </si>
  <si>
    <t>Martín Martínez</t>
  </si>
  <si>
    <t>08/09/2021</t>
  </si>
  <si>
    <t>59058449S</t>
  </si>
  <si>
    <t>Carmen</t>
  </si>
  <si>
    <t>Moreno Rodríguez</t>
  </si>
  <si>
    <t>05/07/2021</t>
  </si>
  <si>
    <t>Auxiliar</t>
  </si>
  <si>
    <t>37187984C</t>
  </si>
  <si>
    <t>Sofia</t>
  </si>
  <si>
    <t>Jiménez Ruiz</t>
  </si>
  <si>
    <t>16/11/2021</t>
  </si>
  <si>
    <t>44710578G</t>
  </si>
  <si>
    <t>Jorge</t>
  </si>
  <si>
    <t>Álvarez Hernández</t>
  </si>
  <si>
    <t>22/09/2021</t>
  </si>
  <si>
    <t>84206673Q</t>
  </si>
  <si>
    <t>Sergio</t>
  </si>
  <si>
    <t>Martínez Fernández</t>
  </si>
  <si>
    <t>30/10/2021</t>
  </si>
  <si>
    <t>67752961K</t>
  </si>
  <si>
    <t>Romero Fernández</t>
  </si>
  <si>
    <t>29/07/2021</t>
  </si>
  <si>
    <t>46690819Z</t>
  </si>
  <si>
    <t>Maria</t>
  </si>
  <si>
    <t>Romero Jiménez</t>
  </si>
  <si>
    <t>26/11/2021</t>
  </si>
  <si>
    <t>50250542G</t>
  </si>
  <si>
    <t>Roberto</t>
  </si>
  <si>
    <t>Moreno Gómez</t>
  </si>
  <si>
    <t>20/01/2021</t>
  </si>
  <si>
    <t>54359161H</t>
  </si>
  <si>
    <t>Fernández Sánchez</t>
  </si>
  <si>
    <t>23/09/2021</t>
  </si>
  <si>
    <t>64420204X</t>
  </si>
  <si>
    <t>Gómez Muñoz</t>
  </si>
  <si>
    <t>28/08/2021</t>
  </si>
  <si>
    <t>47230094P</t>
  </si>
  <si>
    <t>Francisco</t>
  </si>
  <si>
    <t>García Pérez</t>
  </si>
  <si>
    <t>31/10/2021</t>
  </si>
  <si>
    <t>12741144H</t>
  </si>
  <si>
    <t>Moreno García</t>
  </si>
  <si>
    <t>28735952M</t>
  </si>
  <si>
    <t>Carlos</t>
  </si>
  <si>
    <t>González López</t>
  </si>
  <si>
    <t>06/08/2021</t>
  </si>
  <si>
    <t>45487386X</t>
  </si>
  <si>
    <t>González Martínez</t>
  </si>
  <si>
    <t>27/11/2021</t>
  </si>
  <si>
    <t>97170951E</t>
  </si>
  <si>
    <t>Raquel</t>
  </si>
  <si>
    <t>Moreno Martín</t>
  </si>
  <si>
    <t>26/07/2021</t>
  </si>
  <si>
    <t>51417077W</t>
  </si>
  <si>
    <t>Jiménez Alonso</t>
  </si>
  <si>
    <t>18/06/2021</t>
  </si>
  <si>
    <t>Horas no trabajadas año</t>
  </si>
  <si>
    <t>Horas trabajadas año</t>
  </si>
  <si>
    <t>Total Anual</t>
  </si>
  <si>
    <t>Horas reales trabajadas</t>
  </si>
  <si>
    <t>Total.Neto Anual</t>
  </si>
  <si>
    <t>Total</t>
  </si>
  <si>
    <t>Total general</t>
  </si>
  <si>
    <t>Suma de Total.Neto Anual</t>
  </si>
  <si>
    <t>(Todas)</t>
  </si>
  <si>
    <t>Antiguedad</t>
  </si>
  <si>
    <t>Suma de Total Anual</t>
  </si>
  <si>
    <t>Suma de Horas reales trabajadas</t>
  </si>
  <si>
    <t>Valores</t>
  </si>
  <si>
    <t>Total Administrativo</t>
  </si>
  <si>
    <t>Total Auxiliar</t>
  </si>
  <si>
    <t>Total Conserjeria</t>
  </si>
  <si>
    <t>Total Coordinador</t>
  </si>
  <si>
    <t>Total Desarrollador IA</t>
  </si>
  <si>
    <t>Total Director</t>
  </si>
  <si>
    <t>Total Mando intermedio</t>
  </si>
  <si>
    <t>Total Operario</t>
  </si>
  <si>
    <t>Total Recepcionista</t>
  </si>
  <si>
    <t>Total Técnico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</si>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</sst>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#,##0.00\ &quot;€&quot;;[Red]\-#,##0.00\ &quot;€&quot;"/>
    <numFmt numFmtId="164" formatCode="#,##0\ &quot;Horas&quot;"/>
    <numFmt numFmtId="165" formatCode="#,##0.00\ &quot;€&quot;"/>
    <numFmt numFmtId="166" formatCode="#,##0\ &quot;Empleados&quot;"/>
    <numFmt numFmtId="167" formatCode="0\ &quot;Años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166" fontId="0" fillId="0" borderId="0" xfId="0" applyNumberFormat="1"/>
    <xf numFmtId="0" fontId="0" fillId="0" borderId="0" xfId="0" pivotButton="1"/>
    <xf numFmtId="165" fontId="0" fillId="0" borderId="0" xfId="0" applyNumberFormat="1"/>
    <xf numFmtId="167" fontId="0" fillId="0" borderId="0" xfId="0" applyNumberFormat="1" applyAlignment="1">
      <alignment horizontal="center"/>
    </xf>
    <xf numFmtId="167" fontId="0" fillId="0" borderId="0" xfId="0" applyNumberFormat="1"/>
    <xf numFmtId="9" fontId="0" fillId="0" borderId="0" xfId="0" applyNumberFormat="1"/>
    <xf numFmtId="165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4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5" formatCode="#,##0.00\ &quot;€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5" formatCode="#,##0.00\ &quot;€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2" formatCode="#,##0.00\ &quot;€&quot;;[Red]\-#,##0.00\ &quot;€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.00\ &quot;€&quot;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4" formatCode="#,##0\ &quot;Horas&quot;"/>
    </dxf>
    <dxf>
      <numFmt numFmtId="164" formatCode="#,##0\ &quot;Horas&quot;"/>
    </dxf>
    <dxf>
      <numFmt numFmtId="164" formatCode="#,##0\ &quot;Horas&quot;"/>
      <alignment horizontal="right" vertical="bottom" textRotation="0" wrapText="0" indent="0" justifyLastLine="0" shrinkToFit="0" readingOrder="0"/>
    </dxf>
    <dxf>
      <numFmt numFmtId="164" formatCode="#,##0\ &quot;Horas&quot;"/>
      <alignment horizontal="right" vertical="bottom" textRotation="0" wrapText="0" indent="0" justifyLastLine="0" shrinkToFit="0" readingOrder="0"/>
    </dxf>
    <dxf>
      <numFmt numFmtId="164" formatCode="#,##0\ &quot;Horas&quot;"/>
      <alignment horizontal="right" vertical="bottom" textRotation="0" wrapText="0" indent="0" justifyLastLine="0" shrinkToFit="0" readingOrder="0"/>
    </dxf>
    <dxf>
      <numFmt numFmtId="164" formatCode="#,##0\ &quot;Horas&quot;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#,##0\ &quot;Empleados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1" defaultTableStyle="TableStyleMedium9" defaultPivotStyle="PivotStyleLight16">
    <tableStyle name="Invisible" pivot="0" table="0" count="0" xr9:uid="{89B753C6-07E6-4A50-893D-F5D69F2A2D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[Control_Nomina00.xlsx]T.D.2!TablaDinámica1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862430113653767E-2"/>
          <c:y val="7.407407407407407E-2"/>
          <c:w val="0.89804170770382352"/>
          <c:h val="0.58187554680664921"/>
        </c:manualLayout>
      </c:layout>
      <c:lineChart>
        <c:grouping val="stacked"/>
        <c:varyColors val="0"/>
        <c:ser>
          <c:idx val="0"/>
          <c:order val="0"/>
          <c:tx>
            <c:strRef>
              <c:f>'T.D.2'!$D$3:$D$4</c:f>
              <c:strCache>
                <c:ptCount val="1"/>
                <c:pt idx="0">
                  <c:v>Suma de Total Anual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'T.D.2'!$A$5:$C$39</c:f>
              <c:multiLvlStrCache>
                <c:ptCount val="34"/>
                <c:lvl>
                  <c:pt idx="0">
                    <c:v>Un hijo</c:v>
                  </c:pt>
                  <c:pt idx="1">
                    <c:v>Familia numerosa</c:v>
                  </c:pt>
                  <c:pt idx="2">
                    <c:v>Un hijo</c:v>
                  </c:pt>
                  <c:pt idx="3">
                    <c:v>Un hijo</c:v>
                  </c:pt>
                  <c:pt idx="4">
                    <c:v>Otros</c:v>
                  </c:pt>
                  <c:pt idx="5">
                    <c:v>Un hijo</c:v>
                  </c:pt>
                  <c:pt idx="6">
                    <c:v>Dos hijos</c:v>
                  </c:pt>
                  <c:pt idx="7">
                    <c:v>Familia numerosa</c:v>
                  </c:pt>
                  <c:pt idx="8">
                    <c:v>Otros</c:v>
                  </c:pt>
                  <c:pt idx="9">
                    <c:v>Dos hijos</c:v>
                  </c:pt>
                  <c:pt idx="10">
                    <c:v>Sin hijos</c:v>
                  </c:pt>
                  <c:pt idx="11">
                    <c:v>Familia numerosa</c:v>
                  </c:pt>
                  <c:pt idx="12">
                    <c:v>Sin hijos</c:v>
                  </c:pt>
                  <c:pt idx="13">
                    <c:v>Sin hijos</c:v>
                  </c:pt>
                  <c:pt idx="14">
                    <c:v>Otros</c:v>
                  </c:pt>
                  <c:pt idx="15">
                    <c:v>Dos hijos</c:v>
                  </c:pt>
                  <c:pt idx="16">
                    <c:v>Un hijo</c:v>
                  </c:pt>
                  <c:pt idx="17">
                    <c:v>Dos hijos</c:v>
                  </c:pt>
                  <c:pt idx="18">
                    <c:v>Otros</c:v>
                  </c:pt>
                  <c:pt idx="19">
                    <c:v>Un hijo</c:v>
                  </c:pt>
                  <c:pt idx="20">
                    <c:v>Otros</c:v>
                  </c:pt>
                  <c:pt idx="21">
                    <c:v>Otros</c:v>
                  </c:pt>
                  <c:pt idx="22">
                    <c:v>Un hijo</c:v>
                  </c:pt>
                  <c:pt idx="23">
                    <c:v>Sin hijos</c:v>
                  </c:pt>
                  <c:pt idx="24">
                    <c:v>Sin hijos</c:v>
                  </c:pt>
                  <c:pt idx="25">
                    <c:v>Dos hijos</c:v>
                  </c:pt>
                  <c:pt idx="26">
                    <c:v>Dos hijos</c:v>
                  </c:pt>
                  <c:pt idx="27">
                    <c:v>Un hijo</c:v>
                  </c:pt>
                  <c:pt idx="28">
                    <c:v>Un hijo</c:v>
                  </c:pt>
                  <c:pt idx="29">
                    <c:v>Un hijo</c:v>
                  </c:pt>
                  <c:pt idx="30">
                    <c:v>Otros</c:v>
                  </c:pt>
                  <c:pt idx="31">
                    <c:v>Un hijo</c:v>
                  </c:pt>
                  <c:pt idx="32">
                    <c:v>Otros</c:v>
                  </c:pt>
                  <c:pt idx="33">
                    <c:v>Otros</c:v>
                  </c:pt>
                </c:lvl>
                <c:lvl>
                  <c:pt idx="0">
                    <c:v>Javier</c:v>
                  </c:pt>
                  <c:pt idx="1">
                    <c:v>Jorge</c:v>
                  </c:pt>
                  <c:pt idx="2">
                    <c:v>Luisa</c:v>
                  </c:pt>
                  <c:pt idx="3">
                    <c:v>Luisa</c:v>
                  </c:pt>
                  <c:pt idx="4">
                    <c:v>Andres </c:v>
                  </c:pt>
                  <c:pt idx="5">
                    <c:v>Jose Maria</c:v>
                  </c:pt>
                  <c:pt idx="6">
                    <c:v>Antonia</c:v>
                  </c:pt>
                  <c:pt idx="7">
                    <c:v>Maria</c:v>
                  </c:pt>
                  <c:pt idx="8">
                    <c:v>Antonio Jesus</c:v>
                  </c:pt>
                  <c:pt idx="9">
                    <c:v>Pedro Antonio</c:v>
                  </c:pt>
                  <c:pt idx="10">
                    <c:v>Francisco</c:v>
                  </c:pt>
                  <c:pt idx="11">
                    <c:v>Lucia</c:v>
                  </c:pt>
                  <c:pt idx="12">
                    <c:v>Sergio</c:v>
                  </c:pt>
                  <c:pt idx="13">
                    <c:v>Carlos</c:v>
                  </c:pt>
                  <c:pt idx="14">
                    <c:v>Sofia</c:v>
                  </c:pt>
                  <c:pt idx="15">
                    <c:v>Carmen</c:v>
                  </c:pt>
                  <c:pt idx="16">
                    <c:v>Isabel</c:v>
                  </c:pt>
                  <c:pt idx="17">
                    <c:v>Sofia</c:v>
                  </c:pt>
                  <c:pt idx="18">
                    <c:v>Isabel</c:v>
                  </c:pt>
                  <c:pt idx="19">
                    <c:v>Sergio</c:v>
                  </c:pt>
                  <c:pt idx="20">
                    <c:v>Carlos </c:v>
                  </c:pt>
                  <c:pt idx="21">
                    <c:v>Carmen</c:v>
                  </c:pt>
                  <c:pt idx="22">
                    <c:v>Roberto</c:v>
                  </c:pt>
                  <c:pt idx="23">
                    <c:v>Manuel</c:v>
                  </c:pt>
                  <c:pt idx="24">
                    <c:v>Raquel</c:v>
                  </c:pt>
                  <c:pt idx="25">
                    <c:v>Carmen</c:v>
                  </c:pt>
                  <c:pt idx="26">
                    <c:v>Maria Flor</c:v>
                  </c:pt>
                  <c:pt idx="27">
                    <c:v>Joan</c:v>
                  </c:pt>
                  <c:pt idx="28">
                    <c:v>Antonio Luis</c:v>
                  </c:pt>
                  <c:pt idx="29">
                    <c:v>Carmen</c:v>
                  </c:pt>
                  <c:pt idx="30">
                    <c:v>Maria</c:v>
                  </c:pt>
                  <c:pt idx="31">
                    <c:v>David</c:v>
                  </c:pt>
                  <c:pt idx="32">
                    <c:v>Anton</c:v>
                  </c:pt>
                  <c:pt idx="33">
                    <c:v>Alfredo </c:v>
                  </c:pt>
                </c:lvl>
                <c:lvl>
                  <c:pt idx="0">
                    <c:v> Gomez Fuentes</c:v>
                  </c:pt>
                  <c:pt idx="1">
                    <c:v>Álvarez Hernández</c:v>
                  </c:pt>
                  <c:pt idx="2">
                    <c:v>Berdat Gutierrez</c:v>
                  </c:pt>
                  <c:pt idx="3">
                    <c:v>Berdat Montes</c:v>
                  </c:pt>
                  <c:pt idx="4">
                    <c:v>Bueno Manzón</c:v>
                  </c:pt>
                  <c:pt idx="5">
                    <c:v>Dominguez Bertran</c:v>
                  </c:pt>
                  <c:pt idx="6">
                    <c:v>Dominguez Marti</c:v>
                  </c:pt>
                  <c:pt idx="7">
                    <c:v>Fernández Sánchez</c:v>
                  </c:pt>
                  <c:pt idx="8">
                    <c:v>Fuentes Lopèz</c:v>
                  </c:pt>
                  <c:pt idx="9">
                    <c:v>Garcia Moreno</c:v>
                  </c:pt>
                  <c:pt idx="10">
                    <c:v>García Pérez</c:v>
                  </c:pt>
                  <c:pt idx="11">
                    <c:v>Gómez Fernández</c:v>
                  </c:pt>
                  <c:pt idx="12">
                    <c:v>Gómez Muñoz</c:v>
                  </c:pt>
                  <c:pt idx="13">
                    <c:v>González López</c:v>
                  </c:pt>
                  <c:pt idx="14">
                    <c:v>González Martínez</c:v>
                  </c:pt>
                  <c:pt idx="15">
                    <c:v>Jiménez Alonso</c:v>
                  </c:pt>
                  <c:pt idx="16">
                    <c:v>Jiménez Muñoz</c:v>
                  </c:pt>
                  <c:pt idx="17">
                    <c:v>Jiménez Ruiz</c:v>
                  </c:pt>
                  <c:pt idx="18">
                    <c:v>Martín Martínez</c:v>
                  </c:pt>
                  <c:pt idx="19">
                    <c:v>Martínez Fernández</c:v>
                  </c:pt>
                  <c:pt idx="20">
                    <c:v>Mesa Gonzalez</c:v>
                  </c:pt>
                  <c:pt idx="21">
                    <c:v>Moreno García</c:v>
                  </c:pt>
                  <c:pt idx="22">
                    <c:v>Moreno Gómez</c:v>
                  </c:pt>
                  <c:pt idx="23">
                    <c:v>Moreno López</c:v>
                  </c:pt>
                  <c:pt idx="24">
                    <c:v>Moreno Martín</c:v>
                  </c:pt>
                  <c:pt idx="25">
                    <c:v>Moreno Rodríguez</c:v>
                  </c:pt>
                  <c:pt idx="26">
                    <c:v>Nieves Montero</c:v>
                  </c:pt>
                  <c:pt idx="27">
                    <c:v>Pi Mendez</c:v>
                  </c:pt>
                  <c:pt idx="28">
                    <c:v>Robla Mendieta</c:v>
                  </c:pt>
                  <c:pt idx="29">
                    <c:v>Romero Fernández</c:v>
                  </c:pt>
                  <c:pt idx="30">
                    <c:v>Romero Jiménez</c:v>
                  </c:pt>
                  <c:pt idx="31">
                    <c:v>Sánchez Romero</c:v>
                  </c:pt>
                  <c:pt idx="32">
                    <c:v>Savelev</c:v>
                  </c:pt>
                  <c:pt idx="33">
                    <c:v>Torres Marcos</c:v>
                  </c:pt>
                </c:lvl>
              </c:multiLvlStrCache>
            </c:multiLvlStrRef>
          </c:cat>
          <c:val>
            <c:numRef>
              <c:f>'T.D.2'!$D$5:$D$39</c:f>
              <c:numCache>
                <c:formatCode>#,##0.00\ "€"</c:formatCode>
                <c:ptCount val="34"/>
                <c:pt idx="0">
                  <c:v>21252</c:v>
                </c:pt>
                <c:pt idx="1">
                  <c:v>10499.28</c:v>
                </c:pt>
                <c:pt idx="2">
                  <c:v>9801</c:v>
                </c:pt>
                <c:pt idx="3">
                  <c:v>10620.119999999999</c:v>
                </c:pt>
                <c:pt idx="4">
                  <c:v>18947.600000000002</c:v>
                </c:pt>
                <c:pt idx="5">
                  <c:v>18180</c:v>
                </c:pt>
                <c:pt idx="6">
                  <c:v>12201</c:v>
                </c:pt>
                <c:pt idx="7">
                  <c:v>10072.870000000001</c:v>
                </c:pt>
                <c:pt idx="8">
                  <c:v>11890</c:v>
                </c:pt>
                <c:pt idx="9">
                  <c:v>17586</c:v>
                </c:pt>
                <c:pt idx="10">
                  <c:v>18835.04</c:v>
                </c:pt>
                <c:pt idx="11">
                  <c:v>10441.92</c:v>
                </c:pt>
                <c:pt idx="12">
                  <c:v>18623.080000000002</c:v>
                </c:pt>
                <c:pt idx="13">
                  <c:v>11728.64</c:v>
                </c:pt>
                <c:pt idx="14">
                  <c:v>12360.83</c:v>
                </c:pt>
                <c:pt idx="15">
                  <c:v>11949.12</c:v>
                </c:pt>
                <c:pt idx="16">
                  <c:v>19055.560000000001</c:v>
                </c:pt>
                <c:pt idx="17">
                  <c:v>13136.85</c:v>
                </c:pt>
                <c:pt idx="18">
                  <c:v>10114.719999999999</c:v>
                </c:pt>
                <c:pt idx="19">
                  <c:v>12659.92</c:v>
                </c:pt>
                <c:pt idx="20">
                  <c:v>12560</c:v>
                </c:pt>
                <c:pt idx="21">
                  <c:v>10303.9</c:v>
                </c:pt>
                <c:pt idx="22">
                  <c:v>12717.27</c:v>
                </c:pt>
                <c:pt idx="23">
                  <c:v>9861.69</c:v>
                </c:pt>
                <c:pt idx="24">
                  <c:v>11162.2</c:v>
                </c:pt>
                <c:pt idx="25">
                  <c:v>8937.98</c:v>
                </c:pt>
                <c:pt idx="26">
                  <c:v>11436.6</c:v>
                </c:pt>
                <c:pt idx="27">
                  <c:v>21780</c:v>
                </c:pt>
                <c:pt idx="28">
                  <c:v>11988.699999999999</c:v>
                </c:pt>
                <c:pt idx="29">
                  <c:v>10412.550000000001</c:v>
                </c:pt>
                <c:pt idx="30">
                  <c:v>11184</c:v>
                </c:pt>
                <c:pt idx="31">
                  <c:v>10757.31</c:v>
                </c:pt>
                <c:pt idx="32">
                  <c:v>18340</c:v>
                </c:pt>
                <c:pt idx="33">
                  <c:v>11780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C3-7749-A99B-9F031FE3FAD5}"/>
            </c:ext>
          </c:extLst>
        </c:ser>
        <c:ser>
          <c:idx val="1"/>
          <c:order val="1"/>
          <c:tx>
            <c:strRef>
              <c:f>'T.D.2'!$E$3:$E$4</c:f>
              <c:strCache>
                <c:ptCount val="1"/>
                <c:pt idx="0">
                  <c:v>Suma de Horas reales trabajadas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'T.D.2'!$A$5:$C$39</c:f>
              <c:multiLvlStrCache>
                <c:ptCount val="34"/>
                <c:lvl>
                  <c:pt idx="0">
                    <c:v>Un hijo</c:v>
                  </c:pt>
                  <c:pt idx="1">
                    <c:v>Familia numerosa</c:v>
                  </c:pt>
                  <c:pt idx="2">
                    <c:v>Un hijo</c:v>
                  </c:pt>
                  <c:pt idx="3">
                    <c:v>Un hijo</c:v>
                  </c:pt>
                  <c:pt idx="4">
                    <c:v>Otros</c:v>
                  </c:pt>
                  <c:pt idx="5">
                    <c:v>Un hijo</c:v>
                  </c:pt>
                  <c:pt idx="6">
                    <c:v>Dos hijos</c:v>
                  </c:pt>
                  <c:pt idx="7">
                    <c:v>Familia numerosa</c:v>
                  </c:pt>
                  <c:pt idx="8">
                    <c:v>Otros</c:v>
                  </c:pt>
                  <c:pt idx="9">
                    <c:v>Dos hijos</c:v>
                  </c:pt>
                  <c:pt idx="10">
                    <c:v>Sin hijos</c:v>
                  </c:pt>
                  <c:pt idx="11">
                    <c:v>Familia numerosa</c:v>
                  </c:pt>
                  <c:pt idx="12">
                    <c:v>Sin hijos</c:v>
                  </c:pt>
                  <c:pt idx="13">
                    <c:v>Sin hijos</c:v>
                  </c:pt>
                  <c:pt idx="14">
                    <c:v>Otros</c:v>
                  </c:pt>
                  <c:pt idx="15">
                    <c:v>Dos hijos</c:v>
                  </c:pt>
                  <c:pt idx="16">
                    <c:v>Un hijo</c:v>
                  </c:pt>
                  <c:pt idx="17">
                    <c:v>Dos hijos</c:v>
                  </c:pt>
                  <c:pt idx="18">
                    <c:v>Otros</c:v>
                  </c:pt>
                  <c:pt idx="19">
                    <c:v>Un hijo</c:v>
                  </c:pt>
                  <c:pt idx="20">
                    <c:v>Otros</c:v>
                  </c:pt>
                  <c:pt idx="21">
                    <c:v>Otros</c:v>
                  </c:pt>
                  <c:pt idx="22">
                    <c:v>Un hijo</c:v>
                  </c:pt>
                  <c:pt idx="23">
                    <c:v>Sin hijos</c:v>
                  </c:pt>
                  <c:pt idx="24">
                    <c:v>Sin hijos</c:v>
                  </c:pt>
                  <c:pt idx="25">
                    <c:v>Dos hijos</c:v>
                  </c:pt>
                  <c:pt idx="26">
                    <c:v>Dos hijos</c:v>
                  </c:pt>
                  <c:pt idx="27">
                    <c:v>Un hijo</c:v>
                  </c:pt>
                  <c:pt idx="28">
                    <c:v>Un hijo</c:v>
                  </c:pt>
                  <c:pt idx="29">
                    <c:v>Un hijo</c:v>
                  </c:pt>
                  <c:pt idx="30">
                    <c:v>Otros</c:v>
                  </c:pt>
                  <c:pt idx="31">
                    <c:v>Un hijo</c:v>
                  </c:pt>
                  <c:pt idx="32">
                    <c:v>Otros</c:v>
                  </c:pt>
                  <c:pt idx="33">
                    <c:v>Otros</c:v>
                  </c:pt>
                </c:lvl>
                <c:lvl>
                  <c:pt idx="0">
                    <c:v>Javier</c:v>
                  </c:pt>
                  <c:pt idx="1">
                    <c:v>Jorge</c:v>
                  </c:pt>
                  <c:pt idx="2">
                    <c:v>Luisa</c:v>
                  </c:pt>
                  <c:pt idx="3">
                    <c:v>Luisa</c:v>
                  </c:pt>
                  <c:pt idx="4">
                    <c:v>Andres </c:v>
                  </c:pt>
                  <c:pt idx="5">
                    <c:v>Jose Maria</c:v>
                  </c:pt>
                  <c:pt idx="6">
                    <c:v>Antonia</c:v>
                  </c:pt>
                  <c:pt idx="7">
                    <c:v>Maria</c:v>
                  </c:pt>
                  <c:pt idx="8">
                    <c:v>Antonio Jesus</c:v>
                  </c:pt>
                  <c:pt idx="9">
                    <c:v>Pedro Antonio</c:v>
                  </c:pt>
                  <c:pt idx="10">
                    <c:v>Francisco</c:v>
                  </c:pt>
                  <c:pt idx="11">
                    <c:v>Lucia</c:v>
                  </c:pt>
                  <c:pt idx="12">
                    <c:v>Sergio</c:v>
                  </c:pt>
                  <c:pt idx="13">
                    <c:v>Carlos</c:v>
                  </c:pt>
                  <c:pt idx="14">
                    <c:v>Sofia</c:v>
                  </c:pt>
                  <c:pt idx="15">
                    <c:v>Carmen</c:v>
                  </c:pt>
                  <c:pt idx="16">
                    <c:v>Isabel</c:v>
                  </c:pt>
                  <c:pt idx="17">
                    <c:v>Sofia</c:v>
                  </c:pt>
                  <c:pt idx="18">
                    <c:v>Isabel</c:v>
                  </c:pt>
                  <c:pt idx="19">
                    <c:v>Sergio</c:v>
                  </c:pt>
                  <c:pt idx="20">
                    <c:v>Carlos </c:v>
                  </c:pt>
                  <c:pt idx="21">
                    <c:v>Carmen</c:v>
                  </c:pt>
                  <c:pt idx="22">
                    <c:v>Roberto</c:v>
                  </c:pt>
                  <c:pt idx="23">
                    <c:v>Manuel</c:v>
                  </c:pt>
                  <c:pt idx="24">
                    <c:v>Raquel</c:v>
                  </c:pt>
                  <c:pt idx="25">
                    <c:v>Carmen</c:v>
                  </c:pt>
                  <c:pt idx="26">
                    <c:v>Maria Flor</c:v>
                  </c:pt>
                  <c:pt idx="27">
                    <c:v>Joan</c:v>
                  </c:pt>
                  <c:pt idx="28">
                    <c:v>Antonio Luis</c:v>
                  </c:pt>
                  <c:pt idx="29">
                    <c:v>Carmen</c:v>
                  </c:pt>
                  <c:pt idx="30">
                    <c:v>Maria</c:v>
                  </c:pt>
                  <c:pt idx="31">
                    <c:v>David</c:v>
                  </c:pt>
                  <c:pt idx="32">
                    <c:v>Anton</c:v>
                  </c:pt>
                  <c:pt idx="33">
                    <c:v>Alfredo </c:v>
                  </c:pt>
                </c:lvl>
                <c:lvl>
                  <c:pt idx="0">
                    <c:v> Gomez Fuentes</c:v>
                  </c:pt>
                  <c:pt idx="1">
                    <c:v>Álvarez Hernández</c:v>
                  </c:pt>
                  <c:pt idx="2">
                    <c:v>Berdat Gutierrez</c:v>
                  </c:pt>
                  <c:pt idx="3">
                    <c:v>Berdat Montes</c:v>
                  </c:pt>
                  <c:pt idx="4">
                    <c:v>Bueno Manzón</c:v>
                  </c:pt>
                  <c:pt idx="5">
                    <c:v>Dominguez Bertran</c:v>
                  </c:pt>
                  <c:pt idx="6">
                    <c:v>Dominguez Marti</c:v>
                  </c:pt>
                  <c:pt idx="7">
                    <c:v>Fernández Sánchez</c:v>
                  </c:pt>
                  <c:pt idx="8">
                    <c:v>Fuentes Lopèz</c:v>
                  </c:pt>
                  <c:pt idx="9">
                    <c:v>Garcia Moreno</c:v>
                  </c:pt>
                  <c:pt idx="10">
                    <c:v>García Pérez</c:v>
                  </c:pt>
                  <c:pt idx="11">
                    <c:v>Gómez Fernández</c:v>
                  </c:pt>
                  <c:pt idx="12">
                    <c:v>Gómez Muñoz</c:v>
                  </c:pt>
                  <c:pt idx="13">
                    <c:v>González López</c:v>
                  </c:pt>
                  <c:pt idx="14">
                    <c:v>González Martínez</c:v>
                  </c:pt>
                  <c:pt idx="15">
                    <c:v>Jiménez Alonso</c:v>
                  </c:pt>
                  <c:pt idx="16">
                    <c:v>Jiménez Muñoz</c:v>
                  </c:pt>
                  <c:pt idx="17">
                    <c:v>Jiménez Ruiz</c:v>
                  </c:pt>
                  <c:pt idx="18">
                    <c:v>Martín Martínez</c:v>
                  </c:pt>
                  <c:pt idx="19">
                    <c:v>Martínez Fernández</c:v>
                  </c:pt>
                  <c:pt idx="20">
                    <c:v>Mesa Gonzalez</c:v>
                  </c:pt>
                  <c:pt idx="21">
                    <c:v>Moreno García</c:v>
                  </c:pt>
                  <c:pt idx="22">
                    <c:v>Moreno Gómez</c:v>
                  </c:pt>
                  <c:pt idx="23">
                    <c:v>Moreno López</c:v>
                  </c:pt>
                  <c:pt idx="24">
                    <c:v>Moreno Martín</c:v>
                  </c:pt>
                  <c:pt idx="25">
                    <c:v>Moreno Rodríguez</c:v>
                  </c:pt>
                  <c:pt idx="26">
                    <c:v>Nieves Montero</c:v>
                  </c:pt>
                  <c:pt idx="27">
                    <c:v>Pi Mendez</c:v>
                  </c:pt>
                  <c:pt idx="28">
                    <c:v>Robla Mendieta</c:v>
                  </c:pt>
                  <c:pt idx="29">
                    <c:v>Romero Fernández</c:v>
                  </c:pt>
                  <c:pt idx="30">
                    <c:v>Romero Jiménez</c:v>
                  </c:pt>
                  <c:pt idx="31">
                    <c:v>Sánchez Romero</c:v>
                  </c:pt>
                  <c:pt idx="32">
                    <c:v>Savelev</c:v>
                  </c:pt>
                  <c:pt idx="33">
                    <c:v>Torres Marcos</c:v>
                  </c:pt>
                </c:lvl>
              </c:multiLvlStrCache>
            </c:multiLvlStrRef>
          </c:cat>
          <c:val>
            <c:numRef>
              <c:f>'T.D.2'!$E$5:$E$39</c:f>
              <c:numCache>
                <c:formatCode>#,##0\ "Horas"</c:formatCode>
                <c:ptCount val="34"/>
                <c:pt idx="0">
                  <c:v>945</c:v>
                </c:pt>
                <c:pt idx="1">
                  <c:v>904</c:v>
                </c:pt>
                <c:pt idx="2">
                  <c:v>850</c:v>
                </c:pt>
                <c:pt idx="3">
                  <c:v>917</c:v>
                </c:pt>
                <c:pt idx="4">
                  <c:v>902</c:v>
                </c:pt>
                <c:pt idx="5">
                  <c:v>950</c:v>
                </c:pt>
                <c:pt idx="6">
                  <c:v>910</c:v>
                </c:pt>
                <c:pt idx="7">
                  <c:v>899</c:v>
                </c:pt>
                <c:pt idx="8">
                  <c:v>913</c:v>
                </c:pt>
                <c:pt idx="9">
                  <c:v>790</c:v>
                </c:pt>
                <c:pt idx="10">
                  <c:v>940</c:v>
                </c:pt>
                <c:pt idx="11">
                  <c:v>857</c:v>
                </c:pt>
                <c:pt idx="12">
                  <c:v>832</c:v>
                </c:pt>
                <c:pt idx="13">
                  <c:v>869</c:v>
                </c:pt>
                <c:pt idx="14">
                  <c:v>941</c:v>
                </c:pt>
                <c:pt idx="15">
                  <c:v>776</c:v>
                </c:pt>
                <c:pt idx="16">
                  <c:v>987</c:v>
                </c:pt>
                <c:pt idx="17">
                  <c:v>944</c:v>
                </c:pt>
                <c:pt idx="18">
                  <c:v>757</c:v>
                </c:pt>
                <c:pt idx="19">
                  <c:v>921</c:v>
                </c:pt>
                <c:pt idx="20">
                  <c:v>931</c:v>
                </c:pt>
                <c:pt idx="21">
                  <c:v>784</c:v>
                </c:pt>
                <c:pt idx="22">
                  <c:v>954</c:v>
                </c:pt>
                <c:pt idx="23">
                  <c:v>748</c:v>
                </c:pt>
                <c:pt idx="24">
                  <c:v>966</c:v>
                </c:pt>
                <c:pt idx="25">
                  <c:v>733</c:v>
                </c:pt>
                <c:pt idx="26">
                  <c:v>910</c:v>
                </c:pt>
                <c:pt idx="27">
                  <c:v>880</c:v>
                </c:pt>
                <c:pt idx="28">
                  <c:v>920</c:v>
                </c:pt>
                <c:pt idx="29">
                  <c:v>836</c:v>
                </c:pt>
                <c:pt idx="30">
                  <c:v>907</c:v>
                </c:pt>
                <c:pt idx="31">
                  <c:v>768</c:v>
                </c:pt>
                <c:pt idx="32">
                  <c:v>990</c:v>
                </c:pt>
                <c:pt idx="33">
                  <c:v>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C3-7749-A99B-9F031FE3F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323776"/>
        <c:axId val="1459325568"/>
      </c:lineChart>
      <c:catAx>
        <c:axId val="14593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9325568"/>
        <c:crosses val="autoZero"/>
        <c:auto val="1"/>
        <c:lblAlgn val="ctr"/>
        <c:lblOffset val="100"/>
        <c:noMultiLvlLbl val="0"/>
      </c:catAx>
      <c:valAx>
        <c:axId val="145932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5932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[Control_Nomina00.xlsx]T.D.3!TablaDinámica2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'T.D.3'!$D$3:$D$4</c:f>
              <c:strCache>
                <c:ptCount val="1"/>
                <c:pt idx="0">
                  <c:v>Suma de Total Anual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'T.D.3'!$A$5:$C$39</c:f>
              <c:multiLvlStrCache>
                <c:ptCount val="34"/>
                <c:lvl>
                  <c:pt idx="0">
                    <c:v>Un hijo</c:v>
                  </c:pt>
                  <c:pt idx="1">
                    <c:v>Familia numerosa</c:v>
                  </c:pt>
                  <c:pt idx="2">
                    <c:v>Un hijo</c:v>
                  </c:pt>
                  <c:pt idx="3">
                    <c:v>Un hijo</c:v>
                  </c:pt>
                  <c:pt idx="4">
                    <c:v>Otros</c:v>
                  </c:pt>
                  <c:pt idx="5">
                    <c:v>Un hijo</c:v>
                  </c:pt>
                  <c:pt idx="6">
                    <c:v>Dos hijos</c:v>
                  </c:pt>
                  <c:pt idx="7">
                    <c:v>Familia numerosa</c:v>
                  </c:pt>
                  <c:pt idx="8">
                    <c:v>Otros</c:v>
                  </c:pt>
                  <c:pt idx="9">
                    <c:v>Dos hijos</c:v>
                  </c:pt>
                  <c:pt idx="10">
                    <c:v>Sin hijos</c:v>
                  </c:pt>
                  <c:pt idx="11">
                    <c:v>Familia numerosa</c:v>
                  </c:pt>
                  <c:pt idx="12">
                    <c:v>Sin hijos</c:v>
                  </c:pt>
                  <c:pt idx="13">
                    <c:v>Sin hijos</c:v>
                  </c:pt>
                  <c:pt idx="14">
                    <c:v>Otros</c:v>
                  </c:pt>
                  <c:pt idx="15">
                    <c:v>Dos hijos</c:v>
                  </c:pt>
                  <c:pt idx="16">
                    <c:v>Un hijo</c:v>
                  </c:pt>
                  <c:pt idx="17">
                    <c:v>Dos hijos</c:v>
                  </c:pt>
                  <c:pt idx="18">
                    <c:v>Otros</c:v>
                  </c:pt>
                  <c:pt idx="19">
                    <c:v>Un hijo</c:v>
                  </c:pt>
                  <c:pt idx="20">
                    <c:v>Otros</c:v>
                  </c:pt>
                  <c:pt idx="21">
                    <c:v>Otros</c:v>
                  </c:pt>
                  <c:pt idx="22">
                    <c:v>Un hijo</c:v>
                  </c:pt>
                  <c:pt idx="23">
                    <c:v>Sin hijos</c:v>
                  </c:pt>
                  <c:pt idx="24">
                    <c:v>Sin hijos</c:v>
                  </c:pt>
                  <c:pt idx="25">
                    <c:v>Dos hijos</c:v>
                  </c:pt>
                  <c:pt idx="26">
                    <c:v>Dos hijos</c:v>
                  </c:pt>
                  <c:pt idx="27">
                    <c:v>Un hijo</c:v>
                  </c:pt>
                  <c:pt idx="28">
                    <c:v>Un hijo</c:v>
                  </c:pt>
                  <c:pt idx="29">
                    <c:v>Un hijo</c:v>
                  </c:pt>
                  <c:pt idx="30">
                    <c:v>Otros</c:v>
                  </c:pt>
                  <c:pt idx="31">
                    <c:v>Un hijo</c:v>
                  </c:pt>
                  <c:pt idx="32">
                    <c:v>Otros</c:v>
                  </c:pt>
                  <c:pt idx="33">
                    <c:v>Otros</c:v>
                  </c:pt>
                </c:lvl>
                <c:lvl>
                  <c:pt idx="0">
                    <c:v>Javier</c:v>
                  </c:pt>
                  <c:pt idx="1">
                    <c:v>Jorge</c:v>
                  </c:pt>
                  <c:pt idx="2">
                    <c:v>Luisa</c:v>
                  </c:pt>
                  <c:pt idx="3">
                    <c:v>Luisa</c:v>
                  </c:pt>
                  <c:pt idx="4">
                    <c:v>Andres </c:v>
                  </c:pt>
                  <c:pt idx="5">
                    <c:v>Jose Maria</c:v>
                  </c:pt>
                  <c:pt idx="6">
                    <c:v>Antonia</c:v>
                  </c:pt>
                  <c:pt idx="7">
                    <c:v>Maria</c:v>
                  </c:pt>
                  <c:pt idx="8">
                    <c:v>Antonio Jesus</c:v>
                  </c:pt>
                  <c:pt idx="9">
                    <c:v>Pedro Antonio</c:v>
                  </c:pt>
                  <c:pt idx="10">
                    <c:v>Francisco</c:v>
                  </c:pt>
                  <c:pt idx="11">
                    <c:v>Lucia</c:v>
                  </c:pt>
                  <c:pt idx="12">
                    <c:v>Sergio</c:v>
                  </c:pt>
                  <c:pt idx="13">
                    <c:v>Carlos</c:v>
                  </c:pt>
                  <c:pt idx="14">
                    <c:v>Sofia</c:v>
                  </c:pt>
                  <c:pt idx="15">
                    <c:v>Carmen</c:v>
                  </c:pt>
                  <c:pt idx="16">
                    <c:v>Isabel</c:v>
                  </c:pt>
                  <c:pt idx="17">
                    <c:v>Sofia</c:v>
                  </c:pt>
                  <c:pt idx="18">
                    <c:v>Isabel</c:v>
                  </c:pt>
                  <c:pt idx="19">
                    <c:v>Sergio</c:v>
                  </c:pt>
                  <c:pt idx="20">
                    <c:v>Carlos </c:v>
                  </c:pt>
                  <c:pt idx="21">
                    <c:v>Carmen</c:v>
                  </c:pt>
                  <c:pt idx="22">
                    <c:v>Roberto</c:v>
                  </c:pt>
                  <c:pt idx="23">
                    <c:v>Manuel</c:v>
                  </c:pt>
                  <c:pt idx="24">
                    <c:v>Raquel</c:v>
                  </c:pt>
                  <c:pt idx="25">
                    <c:v>Carmen</c:v>
                  </c:pt>
                  <c:pt idx="26">
                    <c:v>Maria Flor</c:v>
                  </c:pt>
                  <c:pt idx="27">
                    <c:v>Joan</c:v>
                  </c:pt>
                  <c:pt idx="28">
                    <c:v>Antonio Luis</c:v>
                  </c:pt>
                  <c:pt idx="29">
                    <c:v>Carmen</c:v>
                  </c:pt>
                  <c:pt idx="30">
                    <c:v>Maria</c:v>
                  </c:pt>
                  <c:pt idx="31">
                    <c:v>David</c:v>
                  </c:pt>
                  <c:pt idx="32">
                    <c:v>Anton</c:v>
                  </c:pt>
                  <c:pt idx="33">
                    <c:v>Alfredo </c:v>
                  </c:pt>
                </c:lvl>
                <c:lvl>
                  <c:pt idx="0">
                    <c:v> Gomez Fuentes</c:v>
                  </c:pt>
                  <c:pt idx="1">
                    <c:v>Álvarez Hernández</c:v>
                  </c:pt>
                  <c:pt idx="2">
                    <c:v>Berdat Gutierrez</c:v>
                  </c:pt>
                  <c:pt idx="3">
                    <c:v>Berdat Montes</c:v>
                  </c:pt>
                  <c:pt idx="4">
                    <c:v>Bueno Manzón</c:v>
                  </c:pt>
                  <c:pt idx="5">
                    <c:v>Dominguez Bertran</c:v>
                  </c:pt>
                  <c:pt idx="6">
                    <c:v>Dominguez Marti</c:v>
                  </c:pt>
                  <c:pt idx="7">
                    <c:v>Fernández Sánchez</c:v>
                  </c:pt>
                  <c:pt idx="8">
                    <c:v>Fuentes Lopèz</c:v>
                  </c:pt>
                  <c:pt idx="9">
                    <c:v>Garcia Moreno</c:v>
                  </c:pt>
                  <c:pt idx="10">
                    <c:v>García Pérez</c:v>
                  </c:pt>
                  <c:pt idx="11">
                    <c:v>Gómez Fernández</c:v>
                  </c:pt>
                  <c:pt idx="12">
                    <c:v>Gómez Muñoz</c:v>
                  </c:pt>
                  <c:pt idx="13">
                    <c:v>González López</c:v>
                  </c:pt>
                  <c:pt idx="14">
                    <c:v>González Martínez</c:v>
                  </c:pt>
                  <c:pt idx="15">
                    <c:v>Jiménez Alonso</c:v>
                  </c:pt>
                  <c:pt idx="16">
                    <c:v>Jiménez Muñoz</c:v>
                  </c:pt>
                  <c:pt idx="17">
                    <c:v>Jiménez Ruiz</c:v>
                  </c:pt>
                  <c:pt idx="18">
                    <c:v>Martín Martínez</c:v>
                  </c:pt>
                  <c:pt idx="19">
                    <c:v>Martínez Fernández</c:v>
                  </c:pt>
                  <c:pt idx="20">
                    <c:v>Mesa Gonzalez</c:v>
                  </c:pt>
                  <c:pt idx="21">
                    <c:v>Moreno García</c:v>
                  </c:pt>
                  <c:pt idx="22">
                    <c:v>Moreno Gómez</c:v>
                  </c:pt>
                  <c:pt idx="23">
                    <c:v>Moreno López</c:v>
                  </c:pt>
                  <c:pt idx="24">
                    <c:v>Moreno Martín</c:v>
                  </c:pt>
                  <c:pt idx="25">
                    <c:v>Moreno Rodríguez</c:v>
                  </c:pt>
                  <c:pt idx="26">
                    <c:v>Nieves Montero</c:v>
                  </c:pt>
                  <c:pt idx="27">
                    <c:v>Pi Mendez</c:v>
                  </c:pt>
                  <c:pt idx="28">
                    <c:v>Robla Mendieta</c:v>
                  </c:pt>
                  <c:pt idx="29">
                    <c:v>Romero Fernández</c:v>
                  </c:pt>
                  <c:pt idx="30">
                    <c:v>Romero Jiménez</c:v>
                  </c:pt>
                  <c:pt idx="31">
                    <c:v>Sánchez Romero</c:v>
                  </c:pt>
                  <c:pt idx="32">
                    <c:v>Savelev</c:v>
                  </c:pt>
                  <c:pt idx="33">
                    <c:v>Torres Marcos</c:v>
                  </c:pt>
                </c:lvl>
              </c:multiLvlStrCache>
            </c:multiLvlStrRef>
          </c:cat>
          <c:val>
            <c:numRef>
              <c:f>'T.D.3'!$D$5:$D$39</c:f>
              <c:numCache>
                <c:formatCode>#,##0.00\ "€"</c:formatCode>
                <c:ptCount val="34"/>
                <c:pt idx="0">
                  <c:v>21252</c:v>
                </c:pt>
                <c:pt idx="1">
                  <c:v>10499.28</c:v>
                </c:pt>
                <c:pt idx="2">
                  <c:v>9801</c:v>
                </c:pt>
                <c:pt idx="3">
                  <c:v>10620.119999999999</c:v>
                </c:pt>
                <c:pt idx="4">
                  <c:v>18947.600000000002</c:v>
                </c:pt>
                <c:pt idx="5">
                  <c:v>18180</c:v>
                </c:pt>
                <c:pt idx="6">
                  <c:v>12201</c:v>
                </c:pt>
                <c:pt idx="7">
                  <c:v>10072.870000000001</c:v>
                </c:pt>
                <c:pt idx="8">
                  <c:v>11890</c:v>
                </c:pt>
                <c:pt idx="9">
                  <c:v>17586</c:v>
                </c:pt>
                <c:pt idx="10">
                  <c:v>18835.04</c:v>
                </c:pt>
                <c:pt idx="11">
                  <c:v>10441.92</c:v>
                </c:pt>
                <c:pt idx="12">
                  <c:v>18623.080000000002</c:v>
                </c:pt>
                <c:pt idx="13">
                  <c:v>11728.64</c:v>
                </c:pt>
                <c:pt idx="14">
                  <c:v>12360.83</c:v>
                </c:pt>
                <c:pt idx="15">
                  <c:v>11949.12</c:v>
                </c:pt>
                <c:pt idx="16">
                  <c:v>19055.560000000001</c:v>
                </c:pt>
                <c:pt idx="17">
                  <c:v>13136.85</c:v>
                </c:pt>
                <c:pt idx="18">
                  <c:v>10114.719999999999</c:v>
                </c:pt>
                <c:pt idx="19">
                  <c:v>12659.92</c:v>
                </c:pt>
                <c:pt idx="20">
                  <c:v>12560</c:v>
                </c:pt>
                <c:pt idx="21">
                  <c:v>10303.9</c:v>
                </c:pt>
                <c:pt idx="22">
                  <c:v>12717.27</c:v>
                </c:pt>
                <c:pt idx="23">
                  <c:v>9861.69</c:v>
                </c:pt>
                <c:pt idx="24">
                  <c:v>11162.2</c:v>
                </c:pt>
                <c:pt idx="25">
                  <c:v>8937.98</c:v>
                </c:pt>
                <c:pt idx="26">
                  <c:v>11436.6</c:v>
                </c:pt>
                <c:pt idx="27">
                  <c:v>21780</c:v>
                </c:pt>
                <c:pt idx="28">
                  <c:v>11988.699999999999</c:v>
                </c:pt>
                <c:pt idx="29">
                  <c:v>10412.550000000001</c:v>
                </c:pt>
                <c:pt idx="30">
                  <c:v>11184</c:v>
                </c:pt>
                <c:pt idx="31">
                  <c:v>10757.31</c:v>
                </c:pt>
                <c:pt idx="32">
                  <c:v>18340</c:v>
                </c:pt>
                <c:pt idx="33">
                  <c:v>11780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7-E448-A2D5-3D786B6FA8AB}"/>
            </c:ext>
          </c:extLst>
        </c:ser>
        <c:ser>
          <c:idx val="1"/>
          <c:order val="1"/>
          <c:tx>
            <c:strRef>
              <c:f>'T.D.3'!$E$3:$E$4</c:f>
              <c:strCache>
                <c:ptCount val="1"/>
                <c:pt idx="0">
                  <c:v>Suma de Horas reales trabajadas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'T.D.3'!$A$5:$C$39</c:f>
              <c:multiLvlStrCache>
                <c:ptCount val="34"/>
                <c:lvl>
                  <c:pt idx="0">
                    <c:v>Un hijo</c:v>
                  </c:pt>
                  <c:pt idx="1">
                    <c:v>Familia numerosa</c:v>
                  </c:pt>
                  <c:pt idx="2">
                    <c:v>Un hijo</c:v>
                  </c:pt>
                  <c:pt idx="3">
                    <c:v>Un hijo</c:v>
                  </c:pt>
                  <c:pt idx="4">
                    <c:v>Otros</c:v>
                  </c:pt>
                  <c:pt idx="5">
                    <c:v>Un hijo</c:v>
                  </c:pt>
                  <c:pt idx="6">
                    <c:v>Dos hijos</c:v>
                  </c:pt>
                  <c:pt idx="7">
                    <c:v>Familia numerosa</c:v>
                  </c:pt>
                  <c:pt idx="8">
                    <c:v>Otros</c:v>
                  </c:pt>
                  <c:pt idx="9">
                    <c:v>Dos hijos</c:v>
                  </c:pt>
                  <c:pt idx="10">
                    <c:v>Sin hijos</c:v>
                  </c:pt>
                  <c:pt idx="11">
                    <c:v>Familia numerosa</c:v>
                  </c:pt>
                  <c:pt idx="12">
                    <c:v>Sin hijos</c:v>
                  </c:pt>
                  <c:pt idx="13">
                    <c:v>Sin hijos</c:v>
                  </c:pt>
                  <c:pt idx="14">
                    <c:v>Otros</c:v>
                  </c:pt>
                  <c:pt idx="15">
                    <c:v>Dos hijos</c:v>
                  </c:pt>
                  <c:pt idx="16">
                    <c:v>Un hijo</c:v>
                  </c:pt>
                  <c:pt idx="17">
                    <c:v>Dos hijos</c:v>
                  </c:pt>
                  <c:pt idx="18">
                    <c:v>Otros</c:v>
                  </c:pt>
                  <c:pt idx="19">
                    <c:v>Un hijo</c:v>
                  </c:pt>
                  <c:pt idx="20">
                    <c:v>Otros</c:v>
                  </c:pt>
                  <c:pt idx="21">
                    <c:v>Otros</c:v>
                  </c:pt>
                  <c:pt idx="22">
                    <c:v>Un hijo</c:v>
                  </c:pt>
                  <c:pt idx="23">
                    <c:v>Sin hijos</c:v>
                  </c:pt>
                  <c:pt idx="24">
                    <c:v>Sin hijos</c:v>
                  </c:pt>
                  <c:pt idx="25">
                    <c:v>Dos hijos</c:v>
                  </c:pt>
                  <c:pt idx="26">
                    <c:v>Dos hijos</c:v>
                  </c:pt>
                  <c:pt idx="27">
                    <c:v>Un hijo</c:v>
                  </c:pt>
                  <c:pt idx="28">
                    <c:v>Un hijo</c:v>
                  </c:pt>
                  <c:pt idx="29">
                    <c:v>Un hijo</c:v>
                  </c:pt>
                  <c:pt idx="30">
                    <c:v>Otros</c:v>
                  </c:pt>
                  <c:pt idx="31">
                    <c:v>Un hijo</c:v>
                  </c:pt>
                  <c:pt idx="32">
                    <c:v>Otros</c:v>
                  </c:pt>
                  <c:pt idx="33">
                    <c:v>Otros</c:v>
                  </c:pt>
                </c:lvl>
                <c:lvl>
                  <c:pt idx="0">
                    <c:v>Javier</c:v>
                  </c:pt>
                  <c:pt idx="1">
                    <c:v>Jorge</c:v>
                  </c:pt>
                  <c:pt idx="2">
                    <c:v>Luisa</c:v>
                  </c:pt>
                  <c:pt idx="3">
                    <c:v>Luisa</c:v>
                  </c:pt>
                  <c:pt idx="4">
                    <c:v>Andres </c:v>
                  </c:pt>
                  <c:pt idx="5">
                    <c:v>Jose Maria</c:v>
                  </c:pt>
                  <c:pt idx="6">
                    <c:v>Antonia</c:v>
                  </c:pt>
                  <c:pt idx="7">
                    <c:v>Maria</c:v>
                  </c:pt>
                  <c:pt idx="8">
                    <c:v>Antonio Jesus</c:v>
                  </c:pt>
                  <c:pt idx="9">
                    <c:v>Pedro Antonio</c:v>
                  </c:pt>
                  <c:pt idx="10">
                    <c:v>Francisco</c:v>
                  </c:pt>
                  <c:pt idx="11">
                    <c:v>Lucia</c:v>
                  </c:pt>
                  <c:pt idx="12">
                    <c:v>Sergio</c:v>
                  </c:pt>
                  <c:pt idx="13">
                    <c:v>Carlos</c:v>
                  </c:pt>
                  <c:pt idx="14">
                    <c:v>Sofia</c:v>
                  </c:pt>
                  <c:pt idx="15">
                    <c:v>Carmen</c:v>
                  </c:pt>
                  <c:pt idx="16">
                    <c:v>Isabel</c:v>
                  </c:pt>
                  <c:pt idx="17">
                    <c:v>Sofia</c:v>
                  </c:pt>
                  <c:pt idx="18">
                    <c:v>Isabel</c:v>
                  </c:pt>
                  <c:pt idx="19">
                    <c:v>Sergio</c:v>
                  </c:pt>
                  <c:pt idx="20">
                    <c:v>Carlos </c:v>
                  </c:pt>
                  <c:pt idx="21">
                    <c:v>Carmen</c:v>
                  </c:pt>
                  <c:pt idx="22">
                    <c:v>Roberto</c:v>
                  </c:pt>
                  <c:pt idx="23">
                    <c:v>Manuel</c:v>
                  </c:pt>
                  <c:pt idx="24">
                    <c:v>Raquel</c:v>
                  </c:pt>
                  <c:pt idx="25">
                    <c:v>Carmen</c:v>
                  </c:pt>
                  <c:pt idx="26">
                    <c:v>Maria Flor</c:v>
                  </c:pt>
                  <c:pt idx="27">
                    <c:v>Joan</c:v>
                  </c:pt>
                  <c:pt idx="28">
                    <c:v>Antonio Luis</c:v>
                  </c:pt>
                  <c:pt idx="29">
                    <c:v>Carmen</c:v>
                  </c:pt>
                  <c:pt idx="30">
                    <c:v>Maria</c:v>
                  </c:pt>
                  <c:pt idx="31">
                    <c:v>David</c:v>
                  </c:pt>
                  <c:pt idx="32">
                    <c:v>Anton</c:v>
                  </c:pt>
                  <c:pt idx="33">
                    <c:v>Alfredo </c:v>
                  </c:pt>
                </c:lvl>
                <c:lvl>
                  <c:pt idx="0">
                    <c:v> Gomez Fuentes</c:v>
                  </c:pt>
                  <c:pt idx="1">
                    <c:v>Álvarez Hernández</c:v>
                  </c:pt>
                  <c:pt idx="2">
                    <c:v>Berdat Gutierrez</c:v>
                  </c:pt>
                  <c:pt idx="3">
                    <c:v>Berdat Montes</c:v>
                  </c:pt>
                  <c:pt idx="4">
                    <c:v>Bueno Manzón</c:v>
                  </c:pt>
                  <c:pt idx="5">
                    <c:v>Dominguez Bertran</c:v>
                  </c:pt>
                  <c:pt idx="6">
                    <c:v>Dominguez Marti</c:v>
                  </c:pt>
                  <c:pt idx="7">
                    <c:v>Fernández Sánchez</c:v>
                  </c:pt>
                  <c:pt idx="8">
                    <c:v>Fuentes Lopèz</c:v>
                  </c:pt>
                  <c:pt idx="9">
                    <c:v>Garcia Moreno</c:v>
                  </c:pt>
                  <c:pt idx="10">
                    <c:v>García Pérez</c:v>
                  </c:pt>
                  <c:pt idx="11">
                    <c:v>Gómez Fernández</c:v>
                  </c:pt>
                  <c:pt idx="12">
                    <c:v>Gómez Muñoz</c:v>
                  </c:pt>
                  <c:pt idx="13">
                    <c:v>González López</c:v>
                  </c:pt>
                  <c:pt idx="14">
                    <c:v>González Martínez</c:v>
                  </c:pt>
                  <c:pt idx="15">
                    <c:v>Jiménez Alonso</c:v>
                  </c:pt>
                  <c:pt idx="16">
                    <c:v>Jiménez Muñoz</c:v>
                  </c:pt>
                  <c:pt idx="17">
                    <c:v>Jiménez Ruiz</c:v>
                  </c:pt>
                  <c:pt idx="18">
                    <c:v>Martín Martínez</c:v>
                  </c:pt>
                  <c:pt idx="19">
                    <c:v>Martínez Fernández</c:v>
                  </c:pt>
                  <c:pt idx="20">
                    <c:v>Mesa Gonzalez</c:v>
                  </c:pt>
                  <c:pt idx="21">
                    <c:v>Moreno García</c:v>
                  </c:pt>
                  <c:pt idx="22">
                    <c:v>Moreno Gómez</c:v>
                  </c:pt>
                  <c:pt idx="23">
                    <c:v>Moreno López</c:v>
                  </c:pt>
                  <c:pt idx="24">
                    <c:v>Moreno Martín</c:v>
                  </c:pt>
                  <c:pt idx="25">
                    <c:v>Moreno Rodríguez</c:v>
                  </c:pt>
                  <c:pt idx="26">
                    <c:v>Nieves Montero</c:v>
                  </c:pt>
                  <c:pt idx="27">
                    <c:v>Pi Mendez</c:v>
                  </c:pt>
                  <c:pt idx="28">
                    <c:v>Robla Mendieta</c:v>
                  </c:pt>
                  <c:pt idx="29">
                    <c:v>Romero Fernández</c:v>
                  </c:pt>
                  <c:pt idx="30">
                    <c:v>Romero Jiménez</c:v>
                  </c:pt>
                  <c:pt idx="31">
                    <c:v>Sánchez Romero</c:v>
                  </c:pt>
                  <c:pt idx="32">
                    <c:v>Savelev</c:v>
                  </c:pt>
                  <c:pt idx="33">
                    <c:v>Torres Marcos</c:v>
                  </c:pt>
                </c:lvl>
              </c:multiLvlStrCache>
            </c:multiLvlStrRef>
          </c:cat>
          <c:val>
            <c:numRef>
              <c:f>'T.D.3'!$E$5:$E$39</c:f>
              <c:numCache>
                <c:formatCode>#,##0\ "Horas"</c:formatCode>
                <c:ptCount val="34"/>
                <c:pt idx="0">
                  <c:v>945</c:v>
                </c:pt>
                <c:pt idx="1">
                  <c:v>904</c:v>
                </c:pt>
                <c:pt idx="2">
                  <c:v>850</c:v>
                </c:pt>
                <c:pt idx="3">
                  <c:v>917</c:v>
                </c:pt>
                <c:pt idx="4">
                  <c:v>902</c:v>
                </c:pt>
                <c:pt idx="5">
                  <c:v>950</c:v>
                </c:pt>
                <c:pt idx="6">
                  <c:v>910</c:v>
                </c:pt>
                <c:pt idx="7">
                  <c:v>899</c:v>
                </c:pt>
                <c:pt idx="8">
                  <c:v>913</c:v>
                </c:pt>
                <c:pt idx="9">
                  <c:v>790</c:v>
                </c:pt>
                <c:pt idx="10">
                  <c:v>940</c:v>
                </c:pt>
                <c:pt idx="11">
                  <c:v>857</c:v>
                </c:pt>
                <c:pt idx="12">
                  <c:v>832</c:v>
                </c:pt>
                <c:pt idx="13">
                  <c:v>869</c:v>
                </c:pt>
                <c:pt idx="14">
                  <c:v>941</c:v>
                </c:pt>
                <c:pt idx="15">
                  <c:v>776</c:v>
                </c:pt>
                <c:pt idx="16">
                  <c:v>987</c:v>
                </c:pt>
                <c:pt idx="17">
                  <c:v>944</c:v>
                </c:pt>
                <c:pt idx="18">
                  <c:v>757</c:v>
                </c:pt>
                <c:pt idx="19">
                  <c:v>921</c:v>
                </c:pt>
                <c:pt idx="20">
                  <c:v>931</c:v>
                </c:pt>
                <c:pt idx="21">
                  <c:v>784</c:v>
                </c:pt>
                <c:pt idx="22">
                  <c:v>954</c:v>
                </c:pt>
                <c:pt idx="23">
                  <c:v>748</c:v>
                </c:pt>
                <c:pt idx="24">
                  <c:v>966</c:v>
                </c:pt>
                <c:pt idx="25">
                  <c:v>733</c:v>
                </c:pt>
                <c:pt idx="26">
                  <c:v>910</c:v>
                </c:pt>
                <c:pt idx="27">
                  <c:v>880</c:v>
                </c:pt>
                <c:pt idx="28">
                  <c:v>920</c:v>
                </c:pt>
                <c:pt idx="29">
                  <c:v>836</c:v>
                </c:pt>
                <c:pt idx="30">
                  <c:v>907</c:v>
                </c:pt>
                <c:pt idx="31">
                  <c:v>768</c:v>
                </c:pt>
                <c:pt idx="32">
                  <c:v>990</c:v>
                </c:pt>
                <c:pt idx="33">
                  <c:v>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7-E448-A2D5-3D786B6FA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5458176"/>
        <c:axId val="1475562112"/>
      </c:barChart>
      <c:catAx>
        <c:axId val="150545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75562112"/>
        <c:crosses val="autoZero"/>
        <c:auto val="1"/>
        <c:lblAlgn val="ctr"/>
        <c:lblOffset val="100"/>
        <c:noMultiLvlLbl val="0"/>
      </c:catAx>
      <c:valAx>
        <c:axId val="147556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0545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 anchorCtr="0"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[Control_Nomina00.xlsx]T.D.4!TablaDinámica4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alpha val="98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3025779076632949E-2"/>
          <c:y val="0.14418300653594773"/>
          <c:w val="0.60587975462304045"/>
          <c:h val="0.79045751633986927"/>
        </c:manualLayout>
      </c:layout>
      <c:pie3DChart>
        <c:varyColors val="1"/>
        <c:ser>
          <c:idx val="0"/>
          <c:order val="0"/>
          <c:tx>
            <c:strRef>
              <c:f>'T.D.4'!$H$3:$H$4</c:f>
              <c:strCache>
                <c:ptCount val="1"/>
                <c:pt idx="0">
                  <c:v>Total</c:v>
                </c:pt>
              </c:strCache>
            </c:strRef>
          </c:tx>
          <c:explosion val="5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88-7A43-93FD-B16A390F26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88-7A43-93FD-B16A390F26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D88-7A43-93FD-B16A390F26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D88-7A43-93FD-B16A390F26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D88-7A43-93FD-B16A390F26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D88-7A43-93FD-B16A390F26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D88-7A43-93FD-B16A390F26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D88-7A43-93FD-B16A390F26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D88-7A43-93FD-B16A390F26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D88-7A43-93FD-B16A390F26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D88-7A43-93FD-B16A390F26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D88-7A43-93FD-B16A390F261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CD88-7A43-93FD-B16A390F261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CD88-7A43-93FD-B16A390F261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CD88-7A43-93FD-B16A390F261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CD88-7A43-93FD-B16A390F261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CD88-7A43-93FD-B16A390F261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CD88-7A43-93FD-B16A390F261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CD88-7A43-93FD-B16A390F261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CD88-7A43-93FD-B16A390F261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CD88-7A43-93FD-B16A390F261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CD88-7A43-93FD-B16A390F261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CD88-7A43-93FD-B16A390F261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CD88-7A43-93FD-B16A390F2611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CD88-7A43-93FD-B16A390F261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CD88-7A43-93FD-B16A390F261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CD88-7A43-93FD-B16A390F261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CD88-7A43-93FD-B16A390F261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CD88-7A43-93FD-B16A390F261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CD88-7A43-93FD-B16A390F261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CD88-7A43-93FD-B16A390F2611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CD88-7A43-93FD-B16A390F2611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CD88-7A43-93FD-B16A390F2611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CD88-7A43-93FD-B16A390F2611}"/>
              </c:ext>
            </c:extLst>
          </c:dPt>
          <c:cat>
            <c:multiLvlStrRef>
              <c:f>'T.D.4'!$A$5:$G$49</c:f>
              <c:multiLvlStrCache>
                <c:ptCount val="34"/>
                <c:lvl>
                  <c:pt idx="0">
                    <c:v>4 Años</c:v>
                  </c:pt>
                  <c:pt idx="1">
                    <c:v>7 Años</c:v>
                  </c:pt>
                  <c:pt idx="2">
                    <c:v>4 Años</c:v>
                  </c:pt>
                  <c:pt idx="3">
                    <c:v>4 Años</c:v>
                  </c:pt>
                  <c:pt idx="4">
                    <c:v>4 Años</c:v>
                  </c:pt>
                  <c:pt idx="5">
                    <c:v>5 Años</c:v>
                  </c:pt>
                  <c:pt idx="6">
                    <c:v>4 Años</c:v>
                  </c:pt>
                  <c:pt idx="7">
                    <c:v>6 Años</c:v>
                  </c:pt>
                  <c:pt idx="8">
                    <c:v>4 Años</c:v>
                  </c:pt>
                  <c:pt idx="9">
                    <c:v>4 Años</c:v>
                  </c:pt>
                  <c:pt idx="10">
                    <c:v>4 Años</c:v>
                  </c:pt>
                  <c:pt idx="11">
                    <c:v>4 Años</c:v>
                  </c:pt>
                  <c:pt idx="12">
                    <c:v>4 Años</c:v>
                  </c:pt>
                  <c:pt idx="13">
                    <c:v>4 Años</c:v>
                  </c:pt>
                  <c:pt idx="14">
                    <c:v>5 Años</c:v>
                  </c:pt>
                  <c:pt idx="15">
                    <c:v>5 Años</c:v>
                  </c:pt>
                  <c:pt idx="16">
                    <c:v>5 Años</c:v>
                  </c:pt>
                  <c:pt idx="17">
                    <c:v>5 Años</c:v>
                  </c:pt>
                  <c:pt idx="18">
                    <c:v>3 Años</c:v>
                  </c:pt>
                  <c:pt idx="19">
                    <c:v>4 Años</c:v>
                  </c:pt>
                  <c:pt idx="20">
                    <c:v>4 Años</c:v>
                  </c:pt>
                  <c:pt idx="21">
                    <c:v>5 Años</c:v>
                  </c:pt>
                  <c:pt idx="22">
                    <c:v>5 Años</c:v>
                  </c:pt>
                  <c:pt idx="23">
                    <c:v>5 Años</c:v>
                  </c:pt>
                  <c:pt idx="24">
                    <c:v>4 Años</c:v>
                  </c:pt>
                  <c:pt idx="25">
                    <c:v>7 Años</c:v>
                  </c:pt>
                  <c:pt idx="26">
                    <c:v>4 Años</c:v>
                  </c:pt>
                  <c:pt idx="27">
                    <c:v>4 Años</c:v>
                  </c:pt>
                  <c:pt idx="28">
                    <c:v>5 Años</c:v>
                  </c:pt>
                  <c:pt idx="29">
                    <c:v>5 Años</c:v>
                  </c:pt>
                  <c:pt idx="30">
                    <c:v>4 Años</c:v>
                  </c:pt>
                  <c:pt idx="31">
                    <c:v>4 Años</c:v>
                  </c:pt>
                  <c:pt idx="32">
                    <c:v>7 Años</c:v>
                  </c:pt>
                  <c:pt idx="33">
                    <c:v>1 Años</c:v>
                  </c:pt>
                </c:lvl>
                <c:lvl>
                  <c:pt idx="0">
                    <c:v>10,76</c:v>
                  </c:pt>
                  <c:pt idx="1">
                    <c:v>12,45</c:v>
                  </c:pt>
                  <c:pt idx="2">
                    <c:v>10,31</c:v>
                  </c:pt>
                  <c:pt idx="3">
                    <c:v>11,89</c:v>
                  </c:pt>
                  <c:pt idx="4">
                    <c:v>11,39</c:v>
                  </c:pt>
                  <c:pt idx="5">
                    <c:v>11,87</c:v>
                  </c:pt>
                  <c:pt idx="6">
                    <c:v>10,94</c:v>
                  </c:pt>
                  <c:pt idx="7">
                    <c:v>11,67</c:v>
                  </c:pt>
                  <c:pt idx="8">
                    <c:v>12,32</c:v>
                  </c:pt>
                  <c:pt idx="9">
                    <c:v>13,15</c:v>
                  </c:pt>
                  <c:pt idx="10">
                    <c:v>12,32</c:v>
                  </c:pt>
                  <c:pt idx="11">
                    <c:v>13,16</c:v>
                  </c:pt>
                  <c:pt idx="12">
                    <c:v>12,34</c:v>
                  </c:pt>
                  <c:pt idx="13">
                    <c:v>12,15</c:v>
                  </c:pt>
                  <c:pt idx="14">
                    <c:v>13,33</c:v>
                  </c:pt>
                  <c:pt idx="15">
                    <c:v>21</c:v>
                  </c:pt>
                  <c:pt idx="16">
                    <c:v>21,78</c:v>
                  </c:pt>
                  <c:pt idx="17">
                    <c:v>18</c:v>
                  </c:pt>
                  <c:pt idx="18">
                    <c:v>19,54</c:v>
                  </c:pt>
                  <c:pt idx="19">
                    <c:v>18,76</c:v>
                  </c:pt>
                  <c:pt idx="20">
                    <c:v>20,51</c:v>
                  </c:pt>
                  <c:pt idx="21">
                    <c:v>17,96</c:v>
                  </c:pt>
                  <c:pt idx="22">
                    <c:v>12,73</c:v>
                  </c:pt>
                  <c:pt idx="23">
                    <c:v>12,13</c:v>
                  </c:pt>
                  <c:pt idx="24">
                    <c:v>12</c:v>
                  </c:pt>
                  <c:pt idx="25">
                    <c:v>10,89</c:v>
                  </c:pt>
                  <c:pt idx="26">
                    <c:v>11,78</c:v>
                  </c:pt>
                  <c:pt idx="27">
                    <c:v>10,67</c:v>
                  </c:pt>
                  <c:pt idx="28">
                    <c:v>18,76</c:v>
                  </c:pt>
                  <c:pt idx="29">
                    <c:v>11,92</c:v>
                  </c:pt>
                  <c:pt idx="30">
                    <c:v>12,73</c:v>
                  </c:pt>
                  <c:pt idx="31">
                    <c:v>13,83</c:v>
                  </c:pt>
                  <c:pt idx="32">
                    <c:v>12,56</c:v>
                  </c:pt>
                  <c:pt idx="33">
                    <c:v>18,34</c:v>
                  </c:pt>
                </c:lvl>
                <c:lvl>
                  <c:pt idx="0">
                    <c:v>987 Horas</c:v>
                  </c:pt>
                  <c:pt idx="1">
                    <c:v>980 Horas</c:v>
                  </c:pt>
                  <c:pt idx="2">
                    <c:v>977 Horas</c:v>
                  </c:pt>
                  <c:pt idx="3">
                    <c:v>1.000 Horas</c:v>
                  </c:pt>
                  <c:pt idx="4">
                    <c:v>980 Horas</c:v>
                  </c:pt>
                  <c:pt idx="5">
                    <c:v>1.010 Horas</c:v>
                  </c:pt>
                  <c:pt idx="6">
                    <c:v>817 Horas</c:v>
                  </c:pt>
                  <c:pt idx="7">
                    <c:v>980 Horas</c:v>
                  </c:pt>
                  <c:pt idx="8">
                    <c:v>952 Horas</c:v>
                  </c:pt>
                  <c:pt idx="9">
                    <c:v>999 Horas</c:v>
                  </c:pt>
                  <c:pt idx="10">
                    <c:v>821 Horas</c:v>
                  </c:pt>
                  <c:pt idx="11">
                    <c:v>962 Horas</c:v>
                  </c:pt>
                  <c:pt idx="12">
                    <c:v>835 Horas</c:v>
                  </c:pt>
                  <c:pt idx="13">
                    <c:v>857 Horas</c:v>
                  </c:pt>
                  <c:pt idx="14">
                    <c:v>807 Horas</c:v>
                  </c:pt>
                  <c:pt idx="15">
                    <c:v>1.012 Horas</c:v>
                  </c:pt>
                  <c:pt idx="16">
                    <c:v>1.000 Horas</c:v>
                  </c:pt>
                  <c:pt idx="17">
                    <c:v>1.010 Horas</c:v>
                  </c:pt>
                  <c:pt idx="18">
                    <c:v>900 Horas</c:v>
                  </c:pt>
                  <c:pt idx="19">
                    <c:v>1.004 Horas</c:v>
                  </c:pt>
                  <c:pt idx="20">
                    <c:v>908 Horas</c:v>
                  </c:pt>
                  <c:pt idx="21">
                    <c:v>1.061 Horas</c:v>
                  </c:pt>
                  <c:pt idx="22">
                    <c:v>999 Horas</c:v>
                  </c:pt>
                  <c:pt idx="23">
                    <c:v>813 Horas</c:v>
                  </c:pt>
                  <c:pt idx="24">
                    <c:v>932 Horas</c:v>
                  </c:pt>
                  <c:pt idx="25">
                    <c:v>900 Horas</c:v>
                  </c:pt>
                  <c:pt idx="26">
                    <c:v>1.000 Horas</c:v>
                  </c:pt>
                  <c:pt idx="27">
                    <c:v>984 Horas</c:v>
                  </c:pt>
                  <c:pt idx="28">
                    <c:v>1.010 Horas</c:v>
                  </c:pt>
                  <c:pt idx="29">
                    <c:v>876 Horas</c:v>
                  </c:pt>
                  <c:pt idx="30">
                    <c:v>971 Horas</c:v>
                  </c:pt>
                  <c:pt idx="31">
                    <c:v>864 Horas</c:v>
                  </c:pt>
                  <c:pt idx="32">
                    <c:v>1.000 Horas</c:v>
                  </c:pt>
                  <c:pt idx="33">
                    <c:v>1.000 Horas</c:v>
                  </c:pt>
                </c:lvl>
                <c:lvl>
                  <c:pt idx="0">
                    <c:v>12%</c:v>
                  </c:pt>
                  <c:pt idx="1">
                    <c:v>11%</c:v>
                  </c:pt>
                  <c:pt idx="2">
                    <c:v>15%</c:v>
                  </c:pt>
                  <c:pt idx="3">
                    <c:v>16%</c:v>
                  </c:pt>
                  <c:pt idx="4">
                    <c:v>17%</c:v>
                  </c:pt>
                  <c:pt idx="5">
                    <c:v>12%</c:v>
                  </c:pt>
                  <c:pt idx="6">
                    <c:v>17%</c:v>
                  </c:pt>
                  <c:pt idx="7">
                    <c:v>11%</c:v>
                  </c:pt>
                  <c:pt idx="8">
                    <c:v>12%</c:v>
                  </c:pt>
                  <c:pt idx="9">
                    <c:v>14%</c:v>
                  </c:pt>
                  <c:pt idx="10">
                    <c:v>16%</c:v>
                  </c:pt>
                  <c:pt idx="11">
                    <c:v>13%</c:v>
                  </c:pt>
                  <c:pt idx="12">
                    <c:v>17%</c:v>
                  </c:pt>
                  <c:pt idx="13">
                    <c:v>12%</c:v>
                  </c:pt>
                  <c:pt idx="14">
                    <c:v>17%</c:v>
                  </c:pt>
                  <c:pt idx="15">
                    <c:v>19%</c:v>
                  </c:pt>
                  <c:pt idx="16">
                    <c:v>19%</c:v>
                  </c:pt>
                  <c:pt idx="17">
                    <c:v>18%</c:v>
                  </c:pt>
                  <c:pt idx="18">
                    <c:v>16%</c:v>
                  </c:pt>
                  <c:pt idx="19">
                    <c:v>18%</c:v>
                  </c:pt>
                  <c:pt idx="20">
                    <c:v>18%</c:v>
                  </c:pt>
                  <c:pt idx="21">
                    <c:v>18%</c:v>
                  </c:pt>
                  <c:pt idx="22">
                    <c:v>12%</c:v>
                  </c:pt>
                  <c:pt idx="23">
                    <c:v>17%</c:v>
                  </c:pt>
                  <c:pt idx="24">
                    <c:v>15%</c:v>
                  </c:pt>
                  <c:pt idx="25">
                    <c:v>11%</c:v>
                  </c:pt>
                  <c:pt idx="26">
                    <c:v>12%</c:v>
                  </c:pt>
                  <c:pt idx="27">
                    <c:v>13%</c:v>
                  </c:pt>
                  <c:pt idx="28">
                    <c:v>18%</c:v>
                  </c:pt>
                  <c:pt idx="29">
                    <c:v>14%</c:v>
                  </c:pt>
                  <c:pt idx="30">
                    <c:v>16%</c:v>
                  </c:pt>
                  <c:pt idx="31">
                    <c:v>14%</c:v>
                  </c:pt>
                  <c:pt idx="32">
                    <c:v>11%</c:v>
                  </c:pt>
                  <c:pt idx="33">
                    <c:v>23%</c:v>
                  </c:pt>
                </c:lvl>
                <c:lvl>
                  <c:pt idx="0">
                    <c:v>Luisa</c:v>
                  </c:pt>
                  <c:pt idx="1">
                    <c:v>Antonia</c:v>
                  </c:pt>
                  <c:pt idx="2">
                    <c:v>Maria</c:v>
                  </c:pt>
                  <c:pt idx="3">
                    <c:v>Antonio Jesus</c:v>
                  </c:pt>
                  <c:pt idx="4">
                    <c:v>Raquel</c:v>
                  </c:pt>
                  <c:pt idx="5">
                    <c:v>Antonio Luis</c:v>
                  </c:pt>
                  <c:pt idx="6">
                    <c:v>Carmen</c:v>
                  </c:pt>
                  <c:pt idx="7">
                    <c:v>Maria Flor</c:v>
                  </c:pt>
                  <c:pt idx="8">
                    <c:v>Carlos</c:v>
                  </c:pt>
                  <c:pt idx="9">
                    <c:v>Sofia</c:v>
                  </c:pt>
                  <c:pt idx="10">
                    <c:v>Isabel</c:v>
                  </c:pt>
                  <c:pt idx="11">
                    <c:v>Sergio</c:v>
                  </c:pt>
                  <c:pt idx="12">
                    <c:v>Carmen</c:v>
                  </c:pt>
                  <c:pt idx="13">
                    <c:v>Carmen</c:v>
                  </c:pt>
                  <c:pt idx="14">
                    <c:v>David</c:v>
                  </c:pt>
                  <c:pt idx="15">
                    <c:v>Javier</c:v>
                  </c:pt>
                  <c:pt idx="16">
                    <c:v>Joan</c:v>
                  </c:pt>
                  <c:pt idx="17">
                    <c:v>Jose Maria</c:v>
                  </c:pt>
                  <c:pt idx="18">
                    <c:v>Pedro Antonio</c:v>
                  </c:pt>
                  <c:pt idx="19">
                    <c:v>Francisco</c:v>
                  </c:pt>
                  <c:pt idx="20">
                    <c:v>Sergio</c:v>
                  </c:pt>
                  <c:pt idx="21">
                    <c:v>Isabel</c:v>
                  </c:pt>
                  <c:pt idx="22">
                    <c:v>Roberto</c:v>
                  </c:pt>
                  <c:pt idx="23">
                    <c:v>Manuel</c:v>
                  </c:pt>
                  <c:pt idx="24">
                    <c:v>Maria</c:v>
                  </c:pt>
                  <c:pt idx="25">
                    <c:v>Luisa</c:v>
                  </c:pt>
                  <c:pt idx="26">
                    <c:v>Alfredo </c:v>
                  </c:pt>
                  <c:pt idx="27">
                    <c:v>Jorge</c:v>
                  </c:pt>
                  <c:pt idx="28">
                    <c:v>Andres </c:v>
                  </c:pt>
                  <c:pt idx="29">
                    <c:v>Lucia</c:v>
                  </c:pt>
                  <c:pt idx="30">
                    <c:v>Sofia</c:v>
                  </c:pt>
                  <c:pt idx="31">
                    <c:v>Carmen</c:v>
                  </c:pt>
                  <c:pt idx="32">
                    <c:v>Carlos </c:v>
                  </c:pt>
                  <c:pt idx="33">
                    <c:v>Anton</c:v>
                  </c:pt>
                </c:lvl>
                <c:lvl>
                  <c:pt idx="0">
                    <c:v>Berdat Montes</c:v>
                  </c:pt>
                  <c:pt idx="1">
                    <c:v>Dominguez Marti</c:v>
                  </c:pt>
                  <c:pt idx="2">
                    <c:v>Fernández Sánchez</c:v>
                  </c:pt>
                  <c:pt idx="3">
                    <c:v>Fuentes Lopèz</c:v>
                  </c:pt>
                  <c:pt idx="4">
                    <c:v>Moreno Martín</c:v>
                  </c:pt>
                  <c:pt idx="5">
                    <c:v>Robla Mendieta</c:v>
                  </c:pt>
                  <c:pt idx="6">
                    <c:v>Moreno Rodríguez</c:v>
                  </c:pt>
                  <c:pt idx="7">
                    <c:v>Nieves Montero</c:v>
                  </c:pt>
                  <c:pt idx="8">
                    <c:v>González López</c:v>
                  </c:pt>
                  <c:pt idx="9">
                    <c:v>Jiménez Ruiz</c:v>
                  </c:pt>
                  <c:pt idx="10">
                    <c:v>Martín Martínez</c:v>
                  </c:pt>
                  <c:pt idx="11">
                    <c:v>Martínez Fernández</c:v>
                  </c:pt>
                  <c:pt idx="12">
                    <c:v>Moreno García</c:v>
                  </c:pt>
                  <c:pt idx="13">
                    <c:v>Romero Fernández</c:v>
                  </c:pt>
                  <c:pt idx="14">
                    <c:v>Sánchez Romero</c:v>
                  </c:pt>
                  <c:pt idx="15">
                    <c:v> Gomez Fuentes</c:v>
                  </c:pt>
                  <c:pt idx="16">
                    <c:v>Pi Mendez</c:v>
                  </c:pt>
                  <c:pt idx="17">
                    <c:v>Dominguez Bertran</c:v>
                  </c:pt>
                  <c:pt idx="18">
                    <c:v>Garcia Moreno</c:v>
                  </c:pt>
                  <c:pt idx="19">
                    <c:v>García Pérez</c:v>
                  </c:pt>
                  <c:pt idx="20">
                    <c:v>Gómez Muñoz</c:v>
                  </c:pt>
                  <c:pt idx="21">
                    <c:v>Jiménez Muñoz</c:v>
                  </c:pt>
                  <c:pt idx="22">
                    <c:v>Moreno Gómez</c:v>
                  </c:pt>
                  <c:pt idx="23">
                    <c:v>Moreno López</c:v>
                  </c:pt>
                  <c:pt idx="24">
                    <c:v>Romero Jiménez</c:v>
                  </c:pt>
                  <c:pt idx="25">
                    <c:v>Berdat Gutierrez</c:v>
                  </c:pt>
                  <c:pt idx="26">
                    <c:v>Torres Marcos</c:v>
                  </c:pt>
                  <c:pt idx="27">
                    <c:v>Álvarez Hernández</c:v>
                  </c:pt>
                  <c:pt idx="28">
                    <c:v>Bueno Manzón</c:v>
                  </c:pt>
                  <c:pt idx="29">
                    <c:v>Gómez Fernández</c:v>
                  </c:pt>
                  <c:pt idx="30">
                    <c:v>González Martínez</c:v>
                  </c:pt>
                  <c:pt idx="31">
                    <c:v>Jiménez Alonso</c:v>
                  </c:pt>
                  <c:pt idx="32">
                    <c:v>Mesa Gonzalez</c:v>
                  </c:pt>
                  <c:pt idx="33">
                    <c:v>Savelev</c:v>
                  </c:pt>
                </c:lvl>
                <c:lvl>
                  <c:pt idx="0">
                    <c:v>Administrativo</c:v>
                  </c:pt>
                  <c:pt idx="6">
                    <c:v>Auxiliar</c:v>
                  </c:pt>
                  <c:pt idx="7">
                    <c:v>Conserjeria</c:v>
                  </c:pt>
                  <c:pt idx="8">
                    <c:v>Coordinador</c:v>
                  </c:pt>
                  <c:pt idx="15">
                    <c:v>Desarrollador IA</c:v>
                  </c:pt>
                  <c:pt idx="16">
                    <c:v>Director</c:v>
                  </c:pt>
                  <c:pt idx="17">
                    <c:v>Mando intermedio</c:v>
                  </c:pt>
                  <c:pt idx="22">
                    <c:v>Operario</c:v>
                  </c:pt>
                  <c:pt idx="25">
                    <c:v>Recepcionista</c:v>
                  </c:pt>
                  <c:pt idx="27">
                    <c:v>Técnico</c:v>
                  </c:pt>
                </c:lvl>
              </c:multiLvlStrCache>
            </c:multiLvlStrRef>
          </c:cat>
          <c:val>
            <c:numRef>
              <c:f>'T.D.4'!$H$5:$H$49</c:f>
              <c:numCache>
                <c:formatCode>#,##0.00\ "€"</c:formatCode>
                <c:ptCount val="34"/>
                <c:pt idx="0">
                  <c:v>10620.119999999999</c:v>
                </c:pt>
                <c:pt idx="1">
                  <c:v>12201</c:v>
                </c:pt>
                <c:pt idx="2">
                  <c:v>10072.870000000001</c:v>
                </c:pt>
                <c:pt idx="3">
                  <c:v>11890</c:v>
                </c:pt>
                <c:pt idx="4">
                  <c:v>11162.2</c:v>
                </c:pt>
                <c:pt idx="5">
                  <c:v>11988.699999999999</c:v>
                </c:pt>
                <c:pt idx="6">
                  <c:v>8937.98</c:v>
                </c:pt>
                <c:pt idx="7">
                  <c:v>11436.6</c:v>
                </c:pt>
                <c:pt idx="8">
                  <c:v>11728.64</c:v>
                </c:pt>
                <c:pt idx="9">
                  <c:v>13136.85</c:v>
                </c:pt>
                <c:pt idx="10">
                  <c:v>10114.719999999999</c:v>
                </c:pt>
                <c:pt idx="11">
                  <c:v>12659.92</c:v>
                </c:pt>
                <c:pt idx="12">
                  <c:v>10303.9</c:v>
                </c:pt>
                <c:pt idx="13">
                  <c:v>10412.550000000001</c:v>
                </c:pt>
                <c:pt idx="14">
                  <c:v>10757.31</c:v>
                </c:pt>
                <c:pt idx="15">
                  <c:v>21252</c:v>
                </c:pt>
                <c:pt idx="16">
                  <c:v>21780</c:v>
                </c:pt>
                <c:pt idx="17">
                  <c:v>18180</c:v>
                </c:pt>
                <c:pt idx="18">
                  <c:v>17586</c:v>
                </c:pt>
                <c:pt idx="19">
                  <c:v>18835.04</c:v>
                </c:pt>
                <c:pt idx="20">
                  <c:v>18623.080000000002</c:v>
                </c:pt>
                <c:pt idx="21">
                  <c:v>19055.560000000001</c:v>
                </c:pt>
                <c:pt idx="22">
                  <c:v>12717.27</c:v>
                </c:pt>
                <c:pt idx="23">
                  <c:v>9861.69</c:v>
                </c:pt>
                <c:pt idx="24">
                  <c:v>11184</c:v>
                </c:pt>
                <c:pt idx="25">
                  <c:v>9801</c:v>
                </c:pt>
                <c:pt idx="26">
                  <c:v>11780</c:v>
                </c:pt>
                <c:pt idx="27">
                  <c:v>10499.28</c:v>
                </c:pt>
                <c:pt idx="28">
                  <c:v>18947.600000000002</c:v>
                </c:pt>
                <c:pt idx="29">
                  <c:v>10441.92</c:v>
                </c:pt>
                <c:pt idx="30">
                  <c:v>12360.83</c:v>
                </c:pt>
                <c:pt idx="31">
                  <c:v>11949.12</c:v>
                </c:pt>
                <c:pt idx="32">
                  <c:v>12560</c:v>
                </c:pt>
                <c:pt idx="33">
                  <c:v>18340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0-419D-9059-8408F1DD1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061516549406161"/>
          <c:y val="0.16195769646441255"/>
          <c:w val="0.33333327635267246"/>
          <c:h val="0.67647676393391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alpha val="98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>
              <a:alpha val="98000"/>
            </a:schemeClr>
          </a:solidFill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85353</xdr:colOff>
      <xdr:row>3</xdr:row>
      <xdr:rowOff>184500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rgo">
              <a:extLst>
                <a:ext uri="{FF2B5EF4-FFF2-40B4-BE49-F238E27FC236}">
                  <a16:creationId xmlns:a16="http://schemas.microsoft.com/office/drawing/2014/main" id="{DA0B272B-F115-B9C2-E5B6-E0C30A3B60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6571878" cy="75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1917700</xdr:colOff>
      <xdr:row>1</xdr:row>
      <xdr:rowOff>295275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IRPF">
              <a:extLst>
                <a:ext uri="{FF2B5EF4-FFF2-40B4-BE49-F238E27FC236}">
                  <a16:creationId xmlns:a16="http://schemas.microsoft.com/office/drawing/2014/main" id="{14F0E0DE-ED37-8E78-C682-8BA74B4025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RPF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7315200" cy="676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254006</xdr:colOff>
      <xdr:row>5</xdr:row>
      <xdr:rowOff>152400</xdr:rowOff>
    </xdr:from>
    <xdr:to>
      <xdr:col>39</xdr:col>
      <xdr:colOff>330200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02D230-0D8F-5418-377D-082A3EBF8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9526</xdr:rowOff>
    </xdr:from>
    <xdr:to>
      <xdr:col>5</xdr:col>
      <xdr:colOff>0</xdr:colOff>
      <xdr:row>1</xdr:row>
      <xdr:rowOff>295275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tiguedad">
              <a:extLst>
                <a:ext uri="{FF2B5EF4-FFF2-40B4-BE49-F238E27FC236}">
                  <a16:creationId xmlns:a16="http://schemas.microsoft.com/office/drawing/2014/main" id="{3DB960F2-3C1C-CA8C-DA13-FFD8B08345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tigu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526"/>
              <a:ext cx="7458075" cy="638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533400</xdr:colOff>
      <xdr:row>4</xdr:row>
      <xdr:rowOff>114300</xdr:rowOff>
    </xdr:from>
    <xdr:to>
      <xdr:col>28</xdr:col>
      <xdr:colOff>330200</xdr:colOff>
      <xdr:row>27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4021881-FD0D-D840-511C-6A6FEE9E5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7</xdr:col>
      <xdr:colOff>876300</xdr:colOff>
      <xdr:row>1</xdr:row>
      <xdr:rowOff>371475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argas familiares">
              <a:extLst>
                <a:ext uri="{FF2B5EF4-FFF2-40B4-BE49-F238E27FC236}">
                  <a16:creationId xmlns:a16="http://schemas.microsoft.com/office/drawing/2014/main" id="{BFA26999-DC34-41FD-D352-1C252CD9A0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as familiar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50" y="38100"/>
              <a:ext cx="8528050" cy="650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433386</xdr:colOff>
      <xdr:row>4</xdr:row>
      <xdr:rowOff>177800</xdr:rowOff>
    </xdr:from>
    <xdr:to>
      <xdr:col>17</xdr:col>
      <xdr:colOff>685800</xdr:colOff>
      <xdr:row>27</xdr:row>
      <xdr:rowOff>50800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61F5439-03BF-F56D-7006-004AAD29C2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156.542730092595" createdVersion="8" refreshedVersion="8" minRefreshableVersion="3" recordCount="34" xr:uid="{D6A3E337-5890-4D90-9566-6D6DEBFE6B04}">
  <cacheSource type="worksheet">
    <worksheetSource name="OrigenDatos"/>
  </cacheSource>
  <cacheFields count="14">
    <cacheField name="Código empleado" numFmtId="0">
      <sharedItems/>
    </cacheField>
    <cacheField name="Nombre" numFmtId="0">
      <sharedItems count="26">
        <s v="Anton"/>
        <s v="Pedro Antonio"/>
        <s v="Luisa"/>
        <s v="Alfredo "/>
        <s v="Antonio Jesus"/>
        <s v="Isabel"/>
        <s v="Carmen"/>
        <s v="Sofia"/>
        <s v="Jorge"/>
        <s v="Sergio"/>
        <s v="Maria"/>
        <s v="Francisco"/>
        <s v="Carlos"/>
        <s v="Raquel"/>
        <s v="Andres "/>
        <s v="Joan"/>
        <s v="Antonio Luis"/>
        <s v="Javier"/>
        <s v="Jose Maria"/>
        <s v="Lucia"/>
        <s v="Manuel"/>
        <s v="David"/>
        <s v="Roberto"/>
        <s v="Maria Flor"/>
        <s v="Antonia"/>
        <s v="Carlos "/>
      </sharedItems>
    </cacheField>
    <cacheField name="Apellidos" numFmtId="0">
      <sharedItems count="34">
        <s v="Savelev"/>
        <s v="Garcia Moreno"/>
        <s v="Berdat Montes"/>
        <s v="Torres Marcos"/>
        <s v="Fuentes Lopèz"/>
        <s v="Martín Martínez"/>
        <s v="Moreno Rodríguez"/>
        <s v="Jiménez Ruiz"/>
        <s v="Álvarez Hernández"/>
        <s v="Martínez Fernández"/>
        <s v="Romero Fernández"/>
        <s v="Romero Jiménez"/>
        <s v="Fernández Sánchez"/>
        <s v="Gómez Muñoz"/>
        <s v="García Pérez"/>
        <s v="Moreno García"/>
        <s v="González López"/>
        <s v="González Martínez"/>
        <s v="Moreno Martín"/>
        <s v="Jiménez Alonso"/>
        <s v="Bueno Manzón"/>
        <s v="Pi Mendez"/>
        <s v="Robla Mendieta"/>
        <s v=" Gomez Fuentes"/>
        <s v="Dominguez Bertran"/>
        <s v="Gómez Fernández"/>
        <s v="Moreno López"/>
        <s v="Jiménez Muñoz"/>
        <s v="Sánchez Romero"/>
        <s v="Moreno Gómez"/>
        <s v="Nieves Montero"/>
        <s v="Dominguez Marti"/>
        <s v="Berdat Gutierrez"/>
        <s v="Mesa Gonzalez"/>
      </sharedItems>
    </cacheField>
    <cacheField name="Fecha de ingreso" numFmtId="0">
      <sharedItems containsDate="1" containsMixedTypes="1" minDate="2019-02-03T00:00:00" maxDate="2023-02-11T00:00:00"/>
    </cacheField>
    <cacheField name="Antiguedad" numFmtId="167">
      <sharedItems containsSemiMixedTypes="0" containsString="0" containsNumber="1" containsInteger="1" minValue="1" maxValue="7" count="6">
        <n v="1"/>
        <n v="3"/>
        <n v="4"/>
        <n v="5"/>
        <n v="6"/>
        <n v="7"/>
      </sharedItems>
    </cacheField>
    <cacheField name="Cargo" numFmtId="0">
      <sharedItems count="13">
        <s v="Técnico"/>
        <s v="Mando intermedio"/>
        <s v="Administrativo"/>
        <s v="Recepcionista"/>
        <s v="Coordinador"/>
        <s v="Auxiliar"/>
        <s v="Operario"/>
        <s v="Director"/>
        <s v="Desarrollador IA"/>
        <s v="Conserjeria"/>
        <s v="Administrativa" u="1"/>
        <s v="Tecnico" u="1"/>
        <s v="Receocionista" u="1"/>
      </sharedItems>
    </cacheField>
    <cacheField name="Horas trabajadas año" numFmtId="164">
      <sharedItems containsSemiMixedTypes="0" containsString="0" containsNumber="1" containsInteger="1" minValue="807" maxValue="1061" count="24">
        <n v="1000"/>
        <n v="900"/>
        <n v="987"/>
        <n v="821"/>
        <n v="817"/>
        <n v="999"/>
        <n v="984"/>
        <n v="962"/>
        <n v="857"/>
        <n v="932"/>
        <n v="977"/>
        <n v="908"/>
        <n v="1004"/>
        <n v="835"/>
        <n v="952"/>
        <n v="971"/>
        <n v="980"/>
        <n v="864"/>
        <n v="1010"/>
        <n v="1012"/>
        <n v="876"/>
        <n v="813"/>
        <n v="1061"/>
        <n v="807"/>
      </sharedItems>
    </cacheField>
    <cacheField name="Horas no trabajadas año" numFmtId="164">
      <sharedItems containsSemiMixedTypes="0" containsString="0" containsNumber="1" containsInteger="1" minValue="10" maxValue="120"/>
    </cacheField>
    <cacheField name="Horas reales trabajadas" numFmtId="164">
      <sharedItems containsSemiMixedTypes="0" containsString="0" containsNumber="1" containsInteger="1" minValue="733" maxValue="990"/>
    </cacheField>
    <cacheField name="Precio hora" numFmtId="0">
      <sharedItems containsSemiMixedTypes="0" containsString="0" containsNumber="1" minValue="10.31" maxValue="21.78" count="31">
        <n v="18.34"/>
        <n v="19.54"/>
        <n v="10.76"/>
        <n v="11.78"/>
        <n v="11.89"/>
        <n v="12.32"/>
        <n v="10.94"/>
        <n v="13.15"/>
        <n v="10.67"/>
        <n v="13.16"/>
        <n v="12.15"/>
        <n v="12"/>
        <n v="10.31"/>
        <n v="20.51"/>
        <n v="18.760000000000002"/>
        <n v="12.34"/>
        <n v="12.73"/>
        <n v="11.39"/>
        <n v="13.83"/>
        <n v="21.78"/>
        <n v="11.87"/>
        <n v="21"/>
        <n v="18"/>
        <n v="11.92"/>
        <n v="12.13"/>
        <n v="17.96"/>
        <n v="13.33"/>
        <n v="11.67"/>
        <n v="12.45"/>
        <n v="10.89"/>
        <n v="12.56"/>
      </sharedItems>
    </cacheField>
    <cacheField name="IRPF" numFmtId="9">
      <sharedItems containsSemiMixedTypes="0" containsString="0" containsNumber="1" minValue="0.11" maxValue="0.23" count="10">
        <n v="0.23"/>
        <n v="0.16"/>
        <n v="0.12"/>
        <n v="0.17"/>
        <n v="0.14000000000000001"/>
        <n v="0.13"/>
        <n v="0.15"/>
        <n v="0.18"/>
        <n v="0.19"/>
        <n v="0.11"/>
      </sharedItems>
    </cacheField>
    <cacheField name="Cargas familiares" numFmtId="0">
      <sharedItems count="5">
        <s v="Otros"/>
        <s v="Dos hijos"/>
        <s v="Un hijo"/>
        <s v="Familia numerosa"/>
        <s v="Sin hijos"/>
      </sharedItems>
    </cacheField>
    <cacheField name="Total Anual" numFmtId="165">
      <sharedItems containsSemiMixedTypes="0" containsString="0" containsNumber="1" minValue="8937.98" maxValue="21780"/>
    </cacheField>
    <cacheField name="Total.Neto Anual" numFmtId="165">
      <sharedItems containsSemiMixedTypes="0" containsString="0" containsNumber="1" minValue="6655.7865999999995" maxValue="16074.45"/>
    </cacheField>
  </cacheFields>
  <extLst>
    <ext xmlns:x14="http://schemas.microsoft.com/office/spreadsheetml/2009/9/main" uri="{725AE2AE-9491-48be-B2B4-4EB974FC3084}">
      <x14:pivotCacheDefinition pivotCacheId="118564841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56789211B"/>
    <x v="0"/>
    <x v="0"/>
    <s v="12/12/2024"/>
    <x v="0"/>
    <x v="0"/>
    <x v="0"/>
    <n v="10"/>
    <n v="990"/>
    <x v="0"/>
    <x v="0"/>
    <x v="0"/>
    <n v="18340"/>
    <n v="13980.581999999999"/>
  </r>
  <r>
    <s v="45678900A"/>
    <x v="1"/>
    <x v="1"/>
    <d v="2023-02-10T00:00:00"/>
    <x v="1"/>
    <x v="1"/>
    <x v="1"/>
    <n v="110"/>
    <n v="790"/>
    <x v="1"/>
    <x v="1"/>
    <x v="1"/>
    <n v="17586"/>
    <n v="12966.743999999999"/>
  </r>
  <r>
    <s v="34567890C"/>
    <x v="2"/>
    <x v="2"/>
    <d v="2021-10-23T00:00:00"/>
    <x v="2"/>
    <x v="2"/>
    <x v="2"/>
    <n v="70"/>
    <n v="917"/>
    <x v="2"/>
    <x v="2"/>
    <x v="2"/>
    <n v="10620.119999999999"/>
    <n v="8682.8896000000004"/>
  </r>
  <r>
    <s v="45678900L"/>
    <x v="3"/>
    <x v="3"/>
    <d v="2021-06-09T00:00:00"/>
    <x v="2"/>
    <x v="3"/>
    <x v="0"/>
    <n v="87"/>
    <n v="913"/>
    <x v="3"/>
    <x v="2"/>
    <x v="0"/>
    <n v="11780"/>
    <n v="9464.5231999999996"/>
  </r>
  <r>
    <s v="34765349A"/>
    <x v="4"/>
    <x v="4"/>
    <d v="2021-10-23T00:00:00"/>
    <x v="2"/>
    <x v="2"/>
    <x v="0"/>
    <n v="87"/>
    <n v="913"/>
    <x v="4"/>
    <x v="1"/>
    <x v="0"/>
    <n v="11890"/>
    <n v="9118.6787999999997"/>
  </r>
  <r>
    <s v="63115979T"/>
    <x v="5"/>
    <x v="5"/>
    <s v="08/09/2021"/>
    <x v="2"/>
    <x v="4"/>
    <x v="3"/>
    <n v="64"/>
    <n v="757"/>
    <x v="5"/>
    <x v="1"/>
    <x v="0"/>
    <n v="10114.719999999999"/>
    <n v="7834.0415999999996"/>
  </r>
  <r>
    <s v="59058449S"/>
    <x v="6"/>
    <x v="6"/>
    <s v="05/07/2021"/>
    <x v="2"/>
    <x v="5"/>
    <x v="4"/>
    <n v="84"/>
    <n v="733"/>
    <x v="6"/>
    <x v="3"/>
    <x v="1"/>
    <n v="8937.98"/>
    <n v="6655.7865999999995"/>
  </r>
  <r>
    <s v="37187984C"/>
    <x v="7"/>
    <x v="7"/>
    <s v="16/11/2021"/>
    <x v="2"/>
    <x v="4"/>
    <x v="5"/>
    <n v="55"/>
    <n v="944"/>
    <x v="7"/>
    <x v="4"/>
    <x v="1"/>
    <n v="13136.85"/>
    <n v="10675.696"/>
  </r>
  <r>
    <s v="44710578G"/>
    <x v="8"/>
    <x v="8"/>
    <s v="22/09/2021"/>
    <x v="2"/>
    <x v="0"/>
    <x v="6"/>
    <n v="80"/>
    <n v="904"/>
    <x v="8"/>
    <x v="5"/>
    <x v="3"/>
    <n v="10499.28"/>
    <n v="8391.7415999999994"/>
  </r>
  <r>
    <s v="84206673Q"/>
    <x v="9"/>
    <x v="9"/>
    <s v="30/10/2021"/>
    <x v="2"/>
    <x v="4"/>
    <x v="7"/>
    <n v="41"/>
    <n v="921"/>
    <x v="9"/>
    <x v="5"/>
    <x v="2"/>
    <n v="12659.92"/>
    <n v="10544.7132"/>
  </r>
  <r>
    <s v="67752961K"/>
    <x v="6"/>
    <x v="10"/>
    <s v="29/07/2021"/>
    <x v="2"/>
    <x v="4"/>
    <x v="8"/>
    <n v="21"/>
    <n v="836"/>
    <x v="10"/>
    <x v="2"/>
    <x v="2"/>
    <n v="10412.550000000001"/>
    <n v="8938.5120000000006"/>
  </r>
  <r>
    <s v="46690819Z"/>
    <x v="10"/>
    <x v="11"/>
    <s v="26/11/2021"/>
    <x v="2"/>
    <x v="6"/>
    <x v="9"/>
    <n v="25"/>
    <n v="907"/>
    <x v="11"/>
    <x v="6"/>
    <x v="0"/>
    <n v="11184"/>
    <n v="9251.4"/>
  </r>
  <r>
    <s v="54359161H"/>
    <x v="10"/>
    <x v="12"/>
    <s v="23/09/2021"/>
    <x v="2"/>
    <x v="2"/>
    <x v="10"/>
    <n v="78"/>
    <n v="899"/>
    <x v="12"/>
    <x v="6"/>
    <x v="3"/>
    <n v="10072.870000000001"/>
    <n v="7878.3865000000005"/>
  </r>
  <r>
    <s v="64420204X"/>
    <x v="9"/>
    <x v="13"/>
    <s v="28/08/2021"/>
    <x v="2"/>
    <x v="1"/>
    <x v="11"/>
    <n v="76"/>
    <n v="832"/>
    <x v="13"/>
    <x v="7"/>
    <x v="4"/>
    <n v="18623.080000000002"/>
    <n v="13992.742400000001"/>
  </r>
  <r>
    <s v="47230094P"/>
    <x v="11"/>
    <x v="14"/>
    <s v="31/10/2021"/>
    <x v="2"/>
    <x v="1"/>
    <x v="12"/>
    <n v="64"/>
    <n v="940"/>
    <x v="14"/>
    <x v="7"/>
    <x v="4"/>
    <n v="18835.04"/>
    <n v="14460.208000000002"/>
  </r>
  <r>
    <s v="12741144H"/>
    <x v="6"/>
    <x v="15"/>
    <s v="16/11/2021"/>
    <x v="2"/>
    <x v="4"/>
    <x v="13"/>
    <n v="51"/>
    <n v="784"/>
    <x v="15"/>
    <x v="3"/>
    <x v="0"/>
    <n v="10303.9"/>
    <n v="8029.8847999999989"/>
  </r>
  <r>
    <s v="28735952M"/>
    <x v="12"/>
    <x v="16"/>
    <s v="06/08/2021"/>
    <x v="2"/>
    <x v="4"/>
    <x v="14"/>
    <n v="83"/>
    <n v="869"/>
    <x v="5"/>
    <x v="2"/>
    <x v="4"/>
    <n v="11728.64"/>
    <n v="9421.3503999999994"/>
  </r>
  <r>
    <s v="45487386X"/>
    <x v="7"/>
    <x v="17"/>
    <s v="27/11/2021"/>
    <x v="2"/>
    <x v="0"/>
    <x v="15"/>
    <n v="30"/>
    <n v="941"/>
    <x v="16"/>
    <x v="1"/>
    <x v="0"/>
    <n v="12360.83"/>
    <n v="10062.3012"/>
  </r>
  <r>
    <s v="97170951E"/>
    <x v="13"/>
    <x v="18"/>
    <s v="26/07/2021"/>
    <x v="2"/>
    <x v="2"/>
    <x v="16"/>
    <n v="14"/>
    <n v="966"/>
    <x v="17"/>
    <x v="3"/>
    <x v="4"/>
    <n v="11162.2"/>
    <n v="9132.2741999999998"/>
  </r>
  <r>
    <s v="51417077W"/>
    <x v="6"/>
    <x v="19"/>
    <s v="18/06/2021"/>
    <x v="2"/>
    <x v="0"/>
    <x v="17"/>
    <n v="88"/>
    <n v="776"/>
    <x v="18"/>
    <x v="4"/>
    <x v="1"/>
    <n v="11949.12"/>
    <n v="9229.5887999999995"/>
  </r>
  <r>
    <s v="33567890L"/>
    <x v="14"/>
    <x v="20"/>
    <d v="2021-03-12T00:00:00"/>
    <x v="3"/>
    <x v="0"/>
    <x v="18"/>
    <n v="108"/>
    <n v="902"/>
    <x v="14"/>
    <x v="7"/>
    <x v="0"/>
    <n v="18947.600000000002"/>
    <n v="13875.646400000001"/>
  </r>
  <r>
    <s v="57890356A"/>
    <x v="15"/>
    <x v="21"/>
    <d v="2020-09-09T00:00:00"/>
    <x v="3"/>
    <x v="7"/>
    <x v="0"/>
    <n v="120"/>
    <n v="880"/>
    <x v="19"/>
    <x v="8"/>
    <x v="2"/>
    <n v="21780"/>
    <n v="15524.784000000001"/>
  </r>
  <r>
    <s v="34578900J"/>
    <x v="16"/>
    <x v="22"/>
    <d v="2021-03-21T00:00:00"/>
    <x v="3"/>
    <x v="2"/>
    <x v="18"/>
    <n v="90"/>
    <n v="920"/>
    <x v="20"/>
    <x v="2"/>
    <x v="2"/>
    <n v="11988.699999999999"/>
    <n v="9609.9519999999993"/>
  </r>
  <r>
    <s v="34890678J"/>
    <x v="17"/>
    <x v="23"/>
    <d v="2020-09-12T00:00:00"/>
    <x v="3"/>
    <x v="8"/>
    <x v="19"/>
    <n v="67"/>
    <n v="945"/>
    <x v="21"/>
    <x v="8"/>
    <x v="2"/>
    <n v="21252"/>
    <n v="16074.45"/>
  </r>
  <r>
    <s v="58567459A"/>
    <x v="18"/>
    <x v="24"/>
    <d v="2021-05-02T00:00:00"/>
    <x v="3"/>
    <x v="1"/>
    <x v="18"/>
    <n v="60"/>
    <n v="950"/>
    <x v="22"/>
    <x v="7"/>
    <x v="2"/>
    <n v="18180"/>
    <n v="14022.000000000002"/>
  </r>
  <r>
    <s v="25330835S"/>
    <x v="19"/>
    <x v="25"/>
    <s v="07/04/2021"/>
    <x v="3"/>
    <x v="0"/>
    <x v="20"/>
    <n v="19"/>
    <n v="857"/>
    <x v="23"/>
    <x v="4"/>
    <x v="3"/>
    <n v="10441.92"/>
    <n v="8785.2784000000011"/>
  </r>
  <r>
    <s v="08400077V"/>
    <x v="20"/>
    <x v="26"/>
    <s v="07/03/2021"/>
    <x v="3"/>
    <x v="6"/>
    <x v="21"/>
    <n v="65"/>
    <n v="748"/>
    <x v="24"/>
    <x v="3"/>
    <x v="4"/>
    <n v="9861.69"/>
    <n v="7530.7891999999993"/>
  </r>
  <r>
    <s v="38545081W"/>
    <x v="5"/>
    <x v="27"/>
    <s v="21/02/2021"/>
    <x v="3"/>
    <x v="1"/>
    <x v="22"/>
    <n v="74"/>
    <n v="987"/>
    <x v="25"/>
    <x v="7"/>
    <x v="2"/>
    <n v="19055.560000000001"/>
    <n v="14535.746400000002"/>
  </r>
  <r>
    <s v="33003538X"/>
    <x v="21"/>
    <x v="28"/>
    <s v="28/03/2021"/>
    <x v="3"/>
    <x v="4"/>
    <x v="23"/>
    <n v="39"/>
    <n v="768"/>
    <x v="26"/>
    <x v="3"/>
    <x v="2"/>
    <n v="10757.31"/>
    <n v="8497.0751999999993"/>
  </r>
  <r>
    <s v="50250542G"/>
    <x v="22"/>
    <x v="29"/>
    <s v="20/01/2021"/>
    <x v="3"/>
    <x v="6"/>
    <x v="5"/>
    <n v="45"/>
    <n v="954"/>
    <x v="16"/>
    <x v="2"/>
    <x v="2"/>
    <n v="12717.27"/>
    <n v="10687.089599999999"/>
  </r>
  <r>
    <s v="78900567C"/>
    <x v="23"/>
    <x v="30"/>
    <d v="2020-03-12T00:00:00"/>
    <x v="4"/>
    <x v="9"/>
    <x v="16"/>
    <n v="70"/>
    <n v="910"/>
    <x v="27"/>
    <x v="9"/>
    <x v="1"/>
    <n v="11436.6"/>
    <n v="9451.5330000000013"/>
  </r>
  <r>
    <s v="34567983J"/>
    <x v="24"/>
    <x v="31"/>
    <d v="2019-03-02T00:00:00"/>
    <x v="5"/>
    <x v="2"/>
    <x v="16"/>
    <n v="70"/>
    <n v="910"/>
    <x v="28"/>
    <x v="9"/>
    <x v="1"/>
    <n v="12201"/>
    <n v="10083.255000000001"/>
  </r>
  <r>
    <s v="67890345G"/>
    <x v="2"/>
    <x v="32"/>
    <d v="2019-04-02T00:00:00"/>
    <x v="5"/>
    <x v="3"/>
    <x v="1"/>
    <n v="50"/>
    <n v="850"/>
    <x v="29"/>
    <x v="9"/>
    <x v="2"/>
    <n v="9801"/>
    <n v="8238.2849999999999"/>
  </r>
  <r>
    <s v="23456112A"/>
    <x v="25"/>
    <x v="33"/>
    <d v="2019-02-03T00:00:00"/>
    <x v="5"/>
    <x v="0"/>
    <x v="0"/>
    <n v="69"/>
    <n v="931"/>
    <x v="30"/>
    <x v="9"/>
    <x v="0"/>
    <n v="12560"/>
    <n v="10407.0904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0279CB-A7CD-4D9A-8470-6543A323D2C1}" name="TablaDinámica2" cacheId="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gridDropZones="1" multipleFieldFilters="0">
  <location ref="A5:D41" firstHeaderRow="2" firstDataRow="2" firstDataCol="3"/>
  <pivotFields count="14">
    <pivotField compact="0" outline="0" showAll="0"/>
    <pivotField axis="axisRow" compact="0" outline="0" showAll="0" defaultSubtotal="0">
      <items count="26">
        <item x="3"/>
        <item x="14"/>
        <item x="0"/>
        <item x="24"/>
        <item x="4"/>
        <item x="16"/>
        <item x="12"/>
        <item x="25"/>
        <item x="6"/>
        <item x="21"/>
        <item x="11"/>
        <item x="5"/>
        <item x="17"/>
        <item x="15"/>
        <item x="8"/>
        <item x="18"/>
        <item x="19"/>
        <item x="2"/>
        <item x="20"/>
        <item x="10"/>
        <item x="23"/>
        <item x="1"/>
        <item x="13"/>
        <item x="22"/>
        <item x="9"/>
        <item x="7"/>
      </items>
    </pivotField>
    <pivotField axis="axisRow" compact="0" outline="0" showAll="0" sortType="descending" defaultSubtotal="0">
      <items count="34">
        <item x="23"/>
        <item x="8"/>
        <item x="32"/>
        <item x="2"/>
        <item x="20"/>
        <item x="24"/>
        <item x="31"/>
        <item x="12"/>
        <item x="4"/>
        <item x="1"/>
        <item x="14"/>
        <item x="25"/>
        <item x="13"/>
        <item x="16"/>
        <item x="17"/>
        <item x="19"/>
        <item x="27"/>
        <item x="7"/>
        <item x="5"/>
        <item x="9"/>
        <item x="33"/>
        <item x="15"/>
        <item x="29"/>
        <item x="26"/>
        <item x="18"/>
        <item x="6"/>
        <item x="30"/>
        <item x="21"/>
        <item x="22"/>
        <item x="10"/>
        <item x="11"/>
        <item x="28"/>
        <item x="0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7" outline="0" showAll="0"/>
    <pivotField compact="0" outline="0" multipleItemSelectionAllowed="1" showAll="0">
      <items count="14">
        <item m="1" x="10"/>
        <item x="2"/>
        <item x="5"/>
        <item x="9"/>
        <item x="4"/>
        <item x="8"/>
        <item x="7"/>
        <item x="1"/>
        <item x="6"/>
        <item m="1" x="12"/>
        <item x="3"/>
        <item m="1" x="11"/>
        <item x="0"/>
        <item t="default"/>
      </items>
    </pivotField>
    <pivotField axis="axisRow" compact="0" numFmtId="164" outline="0" showAll="0" defaultSubtotal="0">
      <items count="24">
        <item x="23"/>
        <item x="21"/>
        <item x="4"/>
        <item x="3"/>
        <item x="13"/>
        <item x="8"/>
        <item x="17"/>
        <item x="20"/>
        <item x="1"/>
        <item x="11"/>
        <item x="9"/>
        <item x="14"/>
        <item x="7"/>
        <item x="15"/>
        <item x="10"/>
        <item x="16"/>
        <item x="6"/>
        <item x="2"/>
        <item x="5"/>
        <item x="0"/>
        <item x="12"/>
        <item x="18"/>
        <item x="19"/>
        <item x="22"/>
      </items>
    </pivotField>
    <pivotField compact="0" numFmtId="164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numFmtId="165" outline="0" showAll="0"/>
    <pivotField dataField="1" compact="0" numFmtId="165" outline="0" showAll="0"/>
  </pivotFields>
  <rowFields count="3">
    <field x="6"/>
    <field x="1"/>
    <field x="2"/>
  </rowFields>
  <rowItems count="35">
    <i>
      <x/>
      <x v="9"/>
      <x v="31"/>
    </i>
    <i>
      <x v="1"/>
      <x v="18"/>
      <x v="23"/>
    </i>
    <i>
      <x v="2"/>
      <x v="8"/>
      <x v="25"/>
    </i>
    <i>
      <x v="3"/>
      <x v="11"/>
      <x v="18"/>
    </i>
    <i>
      <x v="4"/>
      <x v="8"/>
      <x v="21"/>
    </i>
    <i>
      <x v="5"/>
      <x v="8"/>
      <x v="29"/>
    </i>
    <i>
      <x v="6"/>
      <x v="8"/>
      <x v="15"/>
    </i>
    <i>
      <x v="7"/>
      <x v="16"/>
      <x v="11"/>
    </i>
    <i>
      <x v="8"/>
      <x v="17"/>
      <x v="2"/>
    </i>
    <i r="1">
      <x v="21"/>
      <x v="9"/>
    </i>
    <i>
      <x v="9"/>
      <x v="24"/>
      <x v="12"/>
    </i>
    <i>
      <x v="10"/>
      <x v="19"/>
      <x v="30"/>
    </i>
    <i>
      <x v="11"/>
      <x v="6"/>
      <x v="13"/>
    </i>
    <i>
      <x v="12"/>
      <x v="24"/>
      <x v="19"/>
    </i>
    <i>
      <x v="13"/>
      <x v="25"/>
      <x v="14"/>
    </i>
    <i>
      <x v="14"/>
      <x v="19"/>
      <x v="7"/>
    </i>
    <i>
      <x v="15"/>
      <x v="3"/>
      <x v="6"/>
    </i>
    <i r="1">
      <x v="20"/>
      <x v="26"/>
    </i>
    <i r="1">
      <x v="22"/>
      <x v="24"/>
    </i>
    <i>
      <x v="16"/>
      <x v="14"/>
      <x v="1"/>
    </i>
    <i>
      <x v="17"/>
      <x v="17"/>
      <x v="3"/>
    </i>
    <i>
      <x v="18"/>
      <x v="23"/>
      <x v="22"/>
    </i>
    <i r="1">
      <x v="25"/>
      <x v="17"/>
    </i>
    <i>
      <x v="19"/>
      <x/>
      <x v="33"/>
    </i>
    <i r="1">
      <x v="2"/>
      <x v="32"/>
    </i>
    <i r="1">
      <x v="4"/>
      <x v="8"/>
    </i>
    <i r="1">
      <x v="7"/>
      <x v="20"/>
    </i>
    <i r="1">
      <x v="13"/>
      <x v="27"/>
    </i>
    <i>
      <x v="20"/>
      <x v="10"/>
      <x v="10"/>
    </i>
    <i>
      <x v="21"/>
      <x v="1"/>
      <x v="4"/>
    </i>
    <i r="1">
      <x v="5"/>
      <x v="28"/>
    </i>
    <i r="1">
      <x v="15"/>
      <x v="5"/>
    </i>
    <i>
      <x v="22"/>
      <x v="12"/>
      <x/>
    </i>
    <i>
      <x v="23"/>
      <x v="11"/>
      <x v="16"/>
    </i>
    <i t="grand">
      <x/>
    </i>
  </rowItems>
  <colItems count="1">
    <i/>
  </colItems>
  <dataFields count="1">
    <dataField name="Suma de Total.Neto Anual" fld="13" baseField="2" baseItem="31" numFmtId="165"/>
  </dataFields>
  <conditionalFormats count="1"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1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  <reference field="2" count="3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6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4AFB8-078A-4D16-82AC-31AC2983B544}" name="TablaDinámica2" cacheId="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gridDropZones="1" multipleFieldFilters="0">
  <location ref="A5:D41" firstHeaderRow="2" firstDataRow="2" firstDataCol="3" rowPageCount="1" colPageCount="1"/>
  <pivotFields count="14">
    <pivotField compact="0" outline="0" showAll="0"/>
    <pivotField axis="axisRow" compact="0" outline="0" showAll="0" defaultSubtotal="0">
      <items count="26">
        <item x="3"/>
        <item x="14"/>
        <item x="0"/>
        <item x="24"/>
        <item x="4"/>
        <item x="16"/>
        <item x="12"/>
        <item x="25"/>
        <item x="6"/>
        <item x="21"/>
        <item x="11"/>
        <item x="5"/>
        <item x="17"/>
        <item x="15"/>
        <item x="8"/>
        <item x="18"/>
        <item x="19"/>
        <item x="2"/>
        <item x="20"/>
        <item x="10"/>
        <item x="23"/>
        <item x="1"/>
        <item x="13"/>
        <item x="22"/>
        <item x="9"/>
        <item x="7"/>
      </items>
    </pivotField>
    <pivotField axis="axisRow" compact="0" outline="0" showAll="0" sortType="descending" defaultSubtotal="0">
      <items count="34">
        <item x="23"/>
        <item x="8"/>
        <item x="32"/>
        <item x="2"/>
        <item x="20"/>
        <item x="24"/>
        <item x="31"/>
        <item x="12"/>
        <item x="4"/>
        <item x="1"/>
        <item x="14"/>
        <item x="25"/>
        <item x="13"/>
        <item x="16"/>
        <item x="17"/>
        <item x="19"/>
        <item x="27"/>
        <item x="7"/>
        <item x="5"/>
        <item x="9"/>
        <item x="33"/>
        <item x="15"/>
        <item x="29"/>
        <item x="26"/>
        <item x="18"/>
        <item x="6"/>
        <item x="30"/>
        <item x="21"/>
        <item x="22"/>
        <item x="10"/>
        <item x="11"/>
        <item x="28"/>
        <item x="0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7" outline="0" showAll="0"/>
    <pivotField axis="axisPage" compact="0" outline="0" multipleItemSelectionAllowed="1" showAll="0">
      <items count="14">
        <item m="1" x="10"/>
        <item x="2"/>
        <item x="5"/>
        <item x="9"/>
        <item x="4"/>
        <item x="8"/>
        <item x="7"/>
        <item x="1"/>
        <item x="6"/>
        <item m="1" x="12"/>
        <item x="3"/>
        <item m="1" x="11"/>
        <item x="0"/>
        <item t="default"/>
      </items>
    </pivotField>
    <pivotField axis="axisRow" compact="0" numFmtId="164" outline="0" showAll="0" defaultSubtotal="0">
      <items count="24">
        <item x="23"/>
        <item x="21"/>
        <item x="4"/>
        <item x="3"/>
        <item x="13"/>
        <item x="8"/>
        <item x="17"/>
        <item x="20"/>
        <item x="1"/>
        <item x="11"/>
        <item x="9"/>
        <item x="14"/>
        <item x="7"/>
        <item x="15"/>
        <item x="10"/>
        <item x="16"/>
        <item x="6"/>
        <item x="2"/>
        <item x="5"/>
        <item x="0"/>
        <item x="12"/>
        <item x="18"/>
        <item x="19"/>
        <item x="22"/>
      </items>
    </pivotField>
    <pivotField compact="0" numFmtId="164" outline="0" showAll="0"/>
    <pivotField compact="0" numFmtId="164" outline="0" showAll="0"/>
    <pivotField compact="0" outline="0" showAll="0"/>
    <pivotField compact="0" numFmtId="9" outline="0" showAll="0"/>
    <pivotField compact="0" outline="0" showAll="0"/>
    <pivotField compact="0" numFmtId="165" outline="0" showAll="0"/>
    <pivotField dataField="1" compact="0" numFmtId="165" outline="0" showAll="0"/>
  </pivotFields>
  <rowFields count="3">
    <field x="2"/>
    <field x="1"/>
    <field x="6"/>
  </rowFields>
  <rowItems count="35">
    <i>
      <x/>
      <x v="12"/>
      <x v="22"/>
    </i>
    <i>
      <x v="27"/>
      <x v="13"/>
      <x v="19"/>
    </i>
    <i>
      <x v="16"/>
      <x v="11"/>
      <x v="23"/>
    </i>
    <i>
      <x v="10"/>
      <x v="10"/>
      <x v="20"/>
    </i>
    <i>
      <x v="5"/>
      <x v="15"/>
      <x v="21"/>
    </i>
    <i>
      <x v="12"/>
      <x v="24"/>
      <x v="9"/>
    </i>
    <i>
      <x v="32"/>
      <x v="2"/>
      <x v="19"/>
    </i>
    <i>
      <x v="4"/>
      <x v="1"/>
      <x v="21"/>
    </i>
    <i>
      <x v="9"/>
      <x v="21"/>
      <x v="8"/>
    </i>
    <i>
      <x v="22"/>
      <x v="23"/>
      <x v="18"/>
    </i>
    <i>
      <x v="17"/>
      <x v="25"/>
      <x v="18"/>
    </i>
    <i>
      <x v="19"/>
      <x v="24"/>
      <x v="12"/>
    </i>
    <i>
      <x v="20"/>
      <x v="7"/>
      <x v="19"/>
    </i>
    <i>
      <x v="6"/>
      <x v="3"/>
      <x v="15"/>
    </i>
    <i>
      <x v="14"/>
      <x v="25"/>
      <x v="13"/>
    </i>
    <i>
      <x v="28"/>
      <x v="5"/>
      <x v="21"/>
    </i>
    <i>
      <x v="33"/>
      <x/>
      <x v="19"/>
    </i>
    <i>
      <x v="26"/>
      <x v="20"/>
      <x v="15"/>
    </i>
    <i>
      <x v="13"/>
      <x v="6"/>
      <x v="11"/>
    </i>
    <i>
      <x v="30"/>
      <x v="19"/>
      <x v="10"/>
    </i>
    <i>
      <x v="15"/>
      <x v="8"/>
      <x v="6"/>
    </i>
    <i>
      <x v="24"/>
      <x v="22"/>
      <x v="15"/>
    </i>
    <i>
      <x v="8"/>
      <x v="4"/>
      <x v="19"/>
    </i>
    <i>
      <x v="29"/>
      <x v="8"/>
      <x v="5"/>
    </i>
    <i>
      <x v="11"/>
      <x v="16"/>
      <x v="7"/>
    </i>
    <i>
      <x v="3"/>
      <x v="17"/>
      <x v="17"/>
    </i>
    <i>
      <x v="31"/>
      <x v="9"/>
      <x/>
    </i>
    <i>
      <x v="1"/>
      <x v="14"/>
      <x v="16"/>
    </i>
    <i>
      <x v="2"/>
      <x v="17"/>
      <x v="8"/>
    </i>
    <i>
      <x v="21"/>
      <x v="8"/>
      <x v="4"/>
    </i>
    <i>
      <x v="7"/>
      <x v="19"/>
      <x v="14"/>
    </i>
    <i>
      <x v="18"/>
      <x v="11"/>
      <x v="3"/>
    </i>
    <i>
      <x v="23"/>
      <x v="18"/>
      <x v="1"/>
    </i>
    <i>
      <x v="25"/>
      <x v="8"/>
      <x v="2"/>
    </i>
    <i t="grand">
      <x/>
    </i>
  </rowItems>
  <colItems count="1">
    <i/>
  </colItems>
  <pageFields count="1">
    <pageField fld="5" hier="-1"/>
  </pageFields>
  <dataFields count="1">
    <dataField name="Suma de Total.Neto Anual" fld="13" baseField="2" baseItem="31" numFmtId="165"/>
  </dataFields>
  <conditionalFormats count="1"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1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  <reference field="2" count="3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  <reference field="6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51BA3-240A-44FD-B2DE-E928770ADDDD}" name="TablaDinámica1" cacheId="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gridDropZones="1" multipleFieldFilters="0" chartFormat="10">
  <location ref="A3:E39" firstHeaderRow="1" firstDataRow="2" firstDataCol="3"/>
  <pivotFields count="14">
    <pivotField compact="0" outline="0" showAll="0"/>
    <pivotField axis="axisRow" compact="0" outline="0" showAll="0" defaultSubtotal="0">
      <items count="26">
        <item x="3"/>
        <item x="14"/>
        <item x="0"/>
        <item x="24"/>
        <item x="4"/>
        <item x="16"/>
        <item x="12"/>
        <item x="25"/>
        <item x="6"/>
        <item x="21"/>
        <item x="11"/>
        <item x="5"/>
        <item x="17"/>
        <item x="15"/>
        <item x="8"/>
        <item x="18"/>
        <item x="19"/>
        <item x="2"/>
        <item x="20"/>
        <item x="10"/>
        <item x="23"/>
        <item x="1"/>
        <item x="13"/>
        <item x="22"/>
        <item x="9"/>
        <item x="7"/>
      </items>
    </pivotField>
    <pivotField axis="axisRow" compact="0" outline="0" showAll="0" defaultSubtotal="0">
      <items count="34">
        <item x="23"/>
        <item x="8"/>
        <item x="32"/>
        <item x="2"/>
        <item x="20"/>
        <item x="24"/>
        <item x="31"/>
        <item x="12"/>
        <item x="4"/>
        <item x="1"/>
        <item x="14"/>
        <item x="25"/>
        <item x="13"/>
        <item x="16"/>
        <item x="17"/>
        <item x="19"/>
        <item x="27"/>
        <item x="7"/>
        <item x="5"/>
        <item x="9"/>
        <item x="33"/>
        <item x="15"/>
        <item x="29"/>
        <item x="26"/>
        <item x="18"/>
        <item x="6"/>
        <item x="30"/>
        <item x="21"/>
        <item x="22"/>
        <item x="10"/>
        <item x="11"/>
        <item x="28"/>
        <item x="0"/>
        <item x="3"/>
      </items>
    </pivotField>
    <pivotField compact="0" outline="0" showAll="0"/>
    <pivotField compact="0" numFmtId="167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numFmtId="9" outline="0" showAll="0">
      <items count="11">
        <item x="9"/>
        <item x="2"/>
        <item x="5"/>
        <item x="4"/>
        <item x="6"/>
        <item x="1"/>
        <item x="3"/>
        <item x="7"/>
        <item x="8"/>
        <item x="0"/>
        <item t="default"/>
      </items>
    </pivotField>
    <pivotField axis="axisRow" compact="0" outline="0" showAll="0">
      <items count="6">
        <item x="1"/>
        <item x="3"/>
        <item x="0"/>
        <item x="4"/>
        <item x="2"/>
        <item t="default"/>
      </items>
    </pivotField>
    <pivotField dataField="1" compact="0" numFmtId="165" outline="0" showAll="0"/>
    <pivotField compact="0" numFmtId="165" outline="0" showAll="0"/>
  </pivotFields>
  <rowFields count="3">
    <field x="2"/>
    <field x="1"/>
    <field x="11"/>
  </rowFields>
  <rowItems count="35">
    <i>
      <x/>
      <x v="12"/>
      <x v="4"/>
    </i>
    <i>
      <x v="1"/>
      <x v="14"/>
      <x v="1"/>
    </i>
    <i>
      <x v="2"/>
      <x v="17"/>
      <x v="4"/>
    </i>
    <i>
      <x v="3"/>
      <x v="17"/>
      <x v="4"/>
    </i>
    <i>
      <x v="4"/>
      <x v="1"/>
      <x v="2"/>
    </i>
    <i>
      <x v="5"/>
      <x v="15"/>
      <x v="4"/>
    </i>
    <i>
      <x v="6"/>
      <x v="3"/>
      <x/>
    </i>
    <i>
      <x v="7"/>
      <x v="19"/>
      <x v="1"/>
    </i>
    <i>
      <x v="8"/>
      <x v="4"/>
      <x v="2"/>
    </i>
    <i>
      <x v="9"/>
      <x v="21"/>
      <x/>
    </i>
    <i>
      <x v="10"/>
      <x v="10"/>
      <x v="3"/>
    </i>
    <i>
      <x v="11"/>
      <x v="16"/>
      <x v="1"/>
    </i>
    <i>
      <x v="12"/>
      <x v="24"/>
      <x v="3"/>
    </i>
    <i>
      <x v="13"/>
      <x v="6"/>
      <x v="3"/>
    </i>
    <i>
      <x v="14"/>
      <x v="25"/>
      <x v="2"/>
    </i>
    <i>
      <x v="15"/>
      <x v="8"/>
      <x/>
    </i>
    <i>
      <x v="16"/>
      <x v="11"/>
      <x v="4"/>
    </i>
    <i>
      <x v="17"/>
      <x v="25"/>
      <x/>
    </i>
    <i>
      <x v="18"/>
      <x v="11"/>
      <x v="2"/>
    </i>
    <i>
      <x v="19"/>
      <x v="24"/>
      <x v="4"/>
    </i>
    <i>
      <x v="20"/>
      <x v="7"/>
      <x v="2"/>
    </i>
    <i>
      <x v="21"/>
      <x v="8"/>
      <x v="2"/>
    </i>
    <i>
      <x v="22"/>
      <x v="23"/>
      <x v="4"/>
    </i>
    <i>
      <x v="23"/>
      <x v="18"/>
      <x v="3"/>
    </i>
    <i>
      <x v="24"/>
      <x v="22"/>
      <x v="3"/>
    </i>
    <i>
      <x v="25"/>
      <x v="8"/>
      <x/>
    </i>
    <i>
      <x v="26"/>
      <x v="20"/>
      <x/>
    </i>
    <i>
      <x v="27"/>
      <x v="13"/>
      <x v="4"/>
    </i>
    <i>
      <x v="28"/>
      <x v="5"/>
      <x v="4"/>
    </i>
    <i>
      <x v="29"/>
      <x v="8"/>
      <x v="4"/>
    </i>
    <i>
      <x v="30"/>
      <x v="19"/>
      <x v="2"/>
    </i>
    <i>
      <x v="31"/>
      <x v="9"/>
      <x v="4"/>
    </i>
    <i>
      <x v="32"/>
      <x v="2"/>
      <x v="2"/>
    </i>
    <i>
      <x v="33"/>
      <x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 Anual" fld="12" baseField="0" baseItem="0" numFmtId="165"/>
    <dataField name="Suma de Horas reales trabajadas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141EEE-1545-46C5-85A4-1DBB77912B58}" name="TablaDinámica2" cacheId="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gridDropZones="1" multipleFieldFilters="0" chartFormat="13">
  <location ref="A3:E39" firstHeaderRow="1" firstDataRow="2" firstDataCol="3"/>
  <pivotFields count="14">
    <pivotField compact="0" outline="0" showAll="0"/>
    <pivotField axis="axisRow" compact="0" outline="0" showAll="0" defaultSubtotal="0">
      <items count="26">
        <item x="3"/>
        <item x="14"/>
        <item x="0"/>
        <item x="24"/>
        <item x="4"/>
        <item x="16"/>
        <item x="12"/>
        <item x="25"/>
        <item x="6"/>
        <item x="21"/>
        <item x="11"/>
        <item x="5"/>
        <item x="17"/>
        <item x="15"/>
        <item x="8"/>
        <item x="18"/>
        <item x="19"/>
        <item x="2"/>
        <item x="20"/>
        <item x="10"/>
        <item x="23"/>
        <item x="1"/>
        <item x="13"/>
        <item x="22"/>
        <item x="9"/>
        <item x="7"/>
      </items>
    </pivotField>
    <pivotField axis="axisRow" compact="0" outline="0" showAll="0" defaultSubtotal="0">
      <items count="34">
        <item x="23"/>
        <item x="8"/>
        <item x="32"/>
        <item x="2"/>
        <item x="20"/>
        <item x="24"/>
        <item x="31"/>
        <item x="12"/>
        <item x="4"/>
        <item x="1"/>
        <item x="14"/>
        <item x="25"/>
        <item x="13"/>
        <item x="16"/>
        <item x="17"/>
        <item x="19"/>
        <item x="27"/>
        <item x="7"/>
        <item x="5"/>
        <item x="9"/>
        <item x="33"/>
        <item x="15"/>
        <item x="29"/>
        <item x="26"/>
        <item x="18"/>
        <item x="6"/>
        <item x="30"/>
        <item x="21"/>
        <item x="22"/>
        <item x="10"/>
        <item x="11"/>
        <item x="28"/>
        <item x="0"/>
        <item x="3"/>
      </items>
    </pivotField>
    <pivotField compact="0" outline="0" showAll="0"/>
    <pivotField compact="0" numFmtId="167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outline="0" showAll="0"/>
    <pivotField compact="0" numFmtId="9" outline="0" showAll="0"/>
    <pivotField axis="axisRow" compact="0" outline="0" showAll="0" defaultSubtotal="0">
      <items count="5">
        <item x="1"/>
        <item x="3"/>
        <item x="0"/>
        <item x="4"/>
        <item x="2"/>
      </items>
    </pivotField>
    <pivotField dataField="1" compact="0" numFmtId="165" outline="0" showAll="0"/>
    <pivotField compact="0" numFmtId="165" outline="0" showAll="0"/>
  </pivotFields>
  <rowFields count="3">
    <field x="2"/>
    <field x="1"/>
    <field x="11"/>
  </rowFields>
  <rowItems count="35">
    <i>
      <x/>
      <x v="12"/>
      <x v="4"/>
    </i>
    <i>
      <x v="1"/>
      <x v="14"/>
      <x v="1"/>
    </i>
    <i>
      <x v="2"/>
      <x v="17"/>
      <x v="4"/>
    </i>
    <i>
      <x v="3"/>
      <x v="17"/>
      <x v="4"/>
    </i>
    <i>
      <x v="4"/>
      <x v="1"/>
      <x v="2"/>
    </i>
    <i>
      <x v="5"/>
      <x v="15"/>
      <x v="4"/>
    </i>
    <i>
      <x v="6"/>
      <x v="3"/>
      <x/>
    </i>
    <i>
      <x v="7"/>
      <x v="19"/>
      <x v="1"/>
    </i>
    <i>
      <x v="8"/>
      <x v="4"/>
      <x v="2"/>
    </i>
    <i>
      <x v="9"/>
      <x v="21"/>
      <x/>
    </i>
    <i>
      <x v="10"/>
      <x v="10"/>
      <x v="3"/>
    </i>
    <i>
      <x v="11"/>
      <x v="16"/>
      <x v="1"/>
    </i>
    <i>
      <x v="12"/>
      <x v="24"/>
      <x v="3"/>
    </i>
    <i>
      <x v="13"/>
      <x v="6"/>
      <x v="3"/>
    </i>
    <i>
      <x v="14"/>
      <x v="25"/>
      <x v="2"/>
    </i>
    <i>
      <x v="15"/>
      <x v="8"/>
      <x/>
    </i>
    <i>
      <x v="16"/>
      <x v="11"/>
      <x v="4"/>
    </i>
    <i>
      <x v="17"/>
      <x v="25"/>
      <x/>
    </i>
    <i>
      <x v="18"/>
      <x v="11"/>
      <x v="2"/>
    </i>
    <i>
      <x v="19"/>
      <x v="24"/>
      <x v="4"/>
    </i>
    <i>
      <x v="20"/>
      <x v="7"/>
      <x v="2"/>
    </i>
    <i>
      <x v="21"/>
      <x v="8"/>
      <x v="2"/>
    </i>
    <i>
      <x v="22"/>
      <x v="23"/>
      <x v="4"/>
    </i>
    <i>
      <x v="23"/>
      <x v="18"/>
      <x v="3"/>
    </i>
    <i>
      <x v="24"/>
      <x v="22"/>
      <x v="3"/>
    </i>
    <i>
      <x v="25"/>
      <x v="8"/>
      <x/>
    </i>
    <i>
      <x v="26"/>
      <x v="20"/>
      <x/>
    </i>
    <i>
      <x v="27"/>
      <x v="13"/>
      <x v="4"/>
    </i>
    <i>
      <x v="28"/>
      <x v="5"/>
      <x v="4"/>
    </i>
    <i>
      <x v="29"/>
      <x v="8"/>
      <x v="4"/>
    </i>
    <i>
      <x v="30"/>
      <x v="19"/>
      <x v="2"/>
    </i>
    <i>
      <x v="31"/>
      <x v="9"/>
      <x v="4"/>
    </i>
    <i>
      <x v="32"/>
      <x v="2"/>
      <x v="2"/>
    </i>
    <i>
      <x v="33"/>
      <x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 Anual" fld="12" baseField="0" baseItem="0" numFmtId="165"/>
    <dataField name="Suma de Horas reales trabajadas" fld="8" baseField="0" baseItem="0" numFmtId="164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70D25-071B-405A-9571-9A3412226BD9}" name="TablaDinámica4" cacheId="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gridDropZones="1" multipleFieldFilters="0" chartFormat="17">
  <location ref="A3:H49" firstHeaderRow="2" firstDataRow="2" firstDataCol="7"/>
  <pivotFields count="14">
    <pivotField compact="0" outline="0" showAll="0"/>
    <pivotField axis="axisRow" compact="0" outline="0" showAll="0" defaultSubtotal="0">
      <items count="26">
        <item x="3"/>
        <item x="14"/>
        <item x="0"/>
        <item x="24"/>
        <item x="4"/>
        <item x="16"/>
        <item x="12"/>
        <item x="25"/>
        <item x="6"/>
        <item x="21"/>
        <item x="11"/>
        <item x="5"/>
        <item x="17"/>
        <item x="15"/>
        <item x="8"/>
        <item x="18"/>
        <item x="19"/>
        <item x="2"/>
        <item x="20"/>
        <item x="10"/>
        <item x="23"/>
        <item x="1"/>
        <item x="13"/>
        <item x="22"/>
        <item x="9"/>
        <item x="7"/>
      </items>
    </pivotField>
    <pivotField axis="axisRow" compact="0" outline="0" showAll="0" defaultSubtotal="0">
      <items count="34">
        <item x="23"/>
        <item x="8"/>
        <item x="32"/>
        <item x="2"/>
        <item x="20"/>
        <item x="24"/>
        <item x="31"/>
        <item x="12"/>
        <item x="4"/>
        <item x="1"/>
        <item x="14"/>
        <item x="25"/>
        <item x="13"/>
        <item x="16"/>
        <item x="17"/>
        <item x="19"/>
        <item x="27"/>
        <item x="7"/>
        <item x="5"/>
        <item x="9"/>
        <item x="33"/>
        <item x="15"/>
        <item x="29"/>
        <item x="26"/>
        <item x="18"/>
        <item x="6"/>
        <item x="30"/>
        <item x="21"/>
        <item x="22"/>
        <item x="10"/>
        <item x="11"/>
        <item x="28"/>
        <item x="0"/>
        <item x="3"/>
      </items>
    </pivotField>
    <pivotField compact="0" outline="0" showAll="0"/>
    <pivotField axis="axisRow" compact="0" numFmtId="167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>
      <items count="14">
        <item m="1" x="10"/>
        <item x="2"/>
        <item x="5"/>
        <item x="9"/>
        <item x="4"/>
        <item x="8"/>
        <item x="7"/>
        <item x="1"/>
        <item x="6"/>
        <item m="1" x="12"/>
        <item x="3"/>
        <item m="1" x="11"/>
        <item x="0"/>
        <item t="default"/>
      </items>
    </pivotField>
    <pivotField axis="axisRow" compact="0" numFmtId="164" outline="0" showAll="0" defaultSubtotal="0">
      <items count="24">
        <item x="23"/>
        <item x="21"/>
        <item x="4"/>
        <item x="3"/>
        <item x="13"/>
        <item x="8"/>
        <item x="17"/>
        <item x="20"/>
        <item x="1"/>
        <item x="11"/>
        <item x="9"/>
        <item x="14"/>
        <item x="7"/>
        <item x="15"/>
        <item x="10"/>
        <item x="16"/>
        <item x="6"/>
        <item x="2"/>
        <item x="5"/>
        <item x="0"/>
        <item x="12"/>
        <item x="18"/>
        <item x="19"/>
        <item x="22"/>
      </items>
    </pivotField>
    <pivotField compact="0" numFmtId="164" outline="0" showAll="0"/>
    <pivotField compact="0" numFmtId="164" outline="0" showAll="0"/>
    <pivotField axis="axisRow" compact="0" outline="0" showAll="0" defaultSubtotal="0">
      <items count="31">
        <item x="12"/>
        <item x="8"/>
        <item x="2"/>
        <item x="29"/>
        <item x="6"/>
        <item x="17"/>
        <item x="27"/>
        <item x="3"/>
        <item x="20"/>
        <item x="4"/>
        <item x="23"/>
        <item x="11"/>
        <item x="24"/>
        <item x="10"/>
        <item x="5"/>
        <item x="15"/>
        <item x="28"/>
        <item x="30"/>
        <item x="16"/>
        <item x="7"/>
        <item x="9"/>
        <item x="26"/>
        <item x="18"/>
        <item x="25"/>
        <item x="22"/>
        <item x="0"/>
        <item x="14"/>
        <item x="1"/>
        <item x="13"/>
        <item x="21"/>
        <item x="19"/>
      </items>
    </pivotField>
    <pivotField axis="axisRow" compact="0" numFmtId="9" outline="0" showAll="0" defaultSubtotal="0">
      <items count="10">
        <item x="9"/>
        <item x="2"/>
        <item x="5"/>
        <item x="4"/>
        <item x="6"/>
        <item x="1"/>
        <item x="3"/>
        <item x="7"/>
        <item x="8"/>
        <item x="0"/>
      </items>
    </pivotField>
    <pivotField compact="0" outline="0" showAll="0">
      <items count="6">
        <item x="1"/>
        <item x="3"/>
        <item x="0"/>
        <item x="4"/>
        <item x="2"/>
        <item t="default"/>
      </items>
    </pivotField>
    <pivotField dataField="1" compact="0" numFmtId="165" outline="0" showAll="0"/>
    <pivotField compact="0" numFmtId="165" outline="0" showAll="0"/>
  </pivotFields>
  <rowFields count="7">
    <field x="5"/>
    <field x="2"/>
    <field x="1"/>
    <field x="10"/>
    <field x="6"/>
    <field x="9"/>
    <field x="4"/>
  </rowFields>
  <rowItems count="45">
    <i>
      <x v="1"/>
      <x v="3"/>
      <x v="17"/>
      <x v="1"/>
      <x v="17"/>
      <x v="2"/>
      <x v="2"/>
    </i>
    <i r="1">
      <x v="6"/>
      <x v="3"/>
      <x/>
      <x v="15"/>
      <x v="16"/>
      <x v="5"/>
    </i>
    <i r="1">
      <x v="7"/>
      <x v="19"/>
      <x v="4"/>
      <x v="14"/>
      <x/>
      <x v="2"/>
    </i>
    <i r="1">
      <x v="8"/>
      <x v="4"/>
      <x v="5"/>
      <x v="19"/>
      <x v="9"/>
      <x v="2"/>
    </i>
    <i r="1">
      <x v="24"/>
      <x v="22"/>
      <x v="6"/>
      <x v="15"/>
      <x v="5"/>
      <x v="2"/>
    </i>
    <i r="1">
      <x v="28"/>
      <x v="5"/>
      <x v="1"/>
      <x v="21"/>
      <x v="8"/>
      <x v="3"/>
    </i>
    <i t="default">
      <x v="1"/>
    </i>
    <i>
      <x v="2"/>
      <x v="25"/>
      <x v="8"/>
      <x v="6"/>
      <x v="2"/>
      <x v="4"/>
      <x v="2"/>
    </i>
    <i t="default">
      <x v="2"/>
    </i>
    <i>
      <x v="3"/>
      <x v="26"/>
      <x v="20"/>
      <x/>
      <x v="15"/>
      <x v="6"/>
      <x v="4"/>
    </i>
    <i t="default">
      <x v="3"/>
    </i>
    <i>
      <x v="4"/>
      <x v="13"/>
      <x v="6"/>
      <x v="1"/>
      <x v="11"/>
      <x v="14"/>
      <x v="2"/>
    </i>
    <i r="1">
      <x v="17"/>
      <x v="25"/>
      <x v="3"/>
      <x v="18"/>
      <x v="19"/>
      <x v="2"/>
    </i>
    <i r="1">
      <x v="18"/>
      <x v="11"/>
      <x v="5"/>
      <x v="3"/>
      <x v="14"/>
      <x v="2"/>
    </i>
    <i r="1">
      <x v="19"/>
      <x v="24"/>
      <x v="2"/>
      <x v="12"/>
      <x v="20"/>
      <x v="2"/>
    </i>
    <i r="1">
      <x v="21"/>
      <x v="8"/>
      <x v="6"/>
      <x v="4"/>
      <x v="15"/>
      <x v="2"/>
    </i>
    <i r="1">
      <x v="29"/>
      <x v="8"/>
      <x v="1"/>
      <x v="5"/>
      <x v="13"/>
      <x v="2"/>
    </i>
    <i r="1">
      <x v="31"/>
      <x v="9"/>
      <x v="6"/>
      <x/>
      <x v="21"/>
      <x v="3"/>
    </i>
    <i t="default">
      <x v="4"/>
    </i>
    <i>
      <x v="5"/>
      <x/>
      <x v="12"/>
      <x v="8"/>
      <x v="22"/>
      <x v="29"/>
      <x v="3"/>
    </i>
    <i t="default">
      <x v="5"/>
    </i>
    <i>
      <x v="6"/>
      <x v="27"/>
      <x v="13"/>
      <x v="8"/>
      <x v="19"/>
      <x v="30"/>
      <x v="3"/>
    </i>
    <i t="default">
      <x v="6"/>
    </i>
    <i>
      <x v="7"/>
      <x v="5"/>
      <x v="15"/>
      <x v="7"/>
      <x v="21"/>
      <x v="24"/>
      <x v="3"/>
    </i>
    <i r="1">
      <x v="9"/>
      <x v="21"/>
      <x v="5"/>
      <x v="8"/>
      <x v="27"/>
      <x v="1"/>
    </i>
    <i r="1">
      <x v="10"/>
      <x v="10"/>
      <x v="7"/>
      <x v="20"/>
      <x v="26"/>
      <x v="2"/>
    </i>
    <i r="1">
      <x v="12"/>
      <x v="24"/>
      <x v="7"/>
      <x v="9"/>
      <x v="28"/>
      <x v="2"/>
    </i>
    <i r="1">
      <x v="16"/>
      <x v="11"/>
      <x v="7"/>
      <x v="23"/>
      <x v="23"/>
      <x v="3"/>
    </i>
    <i t="default">
      <x v="7"/>
    </i>
    <i>
      <x v="8"/>
      <x v="22"/>
      <x v="23"/>
      <x v="1"/>
      <x v="18"/>
      <x v="18"/>
      <x v="3"/>
    </i>
    <i r="1">
      <x v="23"/>
      <x v="18"/>
      <x v="6"/>
      <x v="1"/>
      <x v="12"/>
      <x v="3"/>
    </i>
    <i r="1">
      <x v="30"/>
      <x v="19"/>
      <x v="4"/>
      <x v="10"/>
      <x v="11"/>
      <x v="2"/>
    </i>
    <i t="default">
      <x v="8"/>
    </i>
    <i>
      <x v="10"/>
      <x v="2"/>
      <x v="17"/>
      <x/>
      <x v="8"/>
      <x v="3"/>
      <x v="5"/>
    </i>
    <i r="1">
      <x v="33"/>
      <x/>
      <x v="1"/>
      <x v="19"/>
      <x v="7"/>
      <x v="2"/>
    </i>
    <i t="default">
      <x v="10"/>
    </i>
    <i>
      <x v="12"/>
      <x v="1"/>
      <x v="14"/>
      <x v="2"/>
      <x v="16"/>
      <x v="1"/>
      <x v="2"/>
    </i>
    <i r="1">
      <x v="4"/>
      <x v="1"/>
      <x v="7"/>
      <x v="21"/>
      <x v="26"/>
      <x v="3"/>
    </i>
    <i r="1">
      <x v="11"/>
      <x v="16"/>
      <x v="3"/>
      <x v="7"/>
      <x v="10"/>
      <x v="3"/>
    </i>
    <i r="1">
      <x v="14"/>
      <x v="25"/>
      <x v="5"/>
      <x v="13"/>
      <x v="18"/>
      <x v="2"/>
    </i>
    <i r="1">
      <x v="15"/>
      <x v="8"/>
      <x v="3"/>
      <x v="6"/>
      <x v="22"/>
      <x v="2"/>
    </i>
    <i r="1">
      <x v="20"/>
      <x v="7"/>
      <x/>
      <x v="19"/>
      <x v="17"/>
      <x v="5"/>
    </i>
    <i r="1">
      <x v="32"/>
      <x v="2"/>
      <x v="9"/>
      <x v="19"/>
      <x v="25"/>
      <x/>
    </i>
    <i t="default">
      <x v="12"/>
    </i>
    <i t="grand">
      <x/>
    </i>
  </rowItems>
  <colItems count="1">
    <i/>
  </colItems>
  <dataFields count="1">
    <dataField name="Suma de Total Anual" fld="12" baseField="0" baseItem="0" numFmtId="165"/>
  </dataFields>
  <formats count="18">
    <format dxfId="0">
      <pivotArea outline="0" fieldPosition="0">
        <references count="1">
          <reference field="5" count="1" selected="0" defaultSubtotal="1">
            <x v="1"/>
          </reference>
        </references>
      </pivotArea>
    </format>
    <format dxfId="1">
      <pivotArea dataOnly="0" labelOnly="1" outline="0" fieldPosition="0">
        <references count="1">
          <reference field="5" count="1" defaultSubtotal="1">
            <x v="1"/>
          </reference>
        </references>
      </pivotArea>
    </format>
    <format dxfId="2">
      <pivotArea outline="0" fieldPosition="0">
        <references count="1">
          <reference field="5" count="1" selected="0" defaultSubtotal="1">
            <x v="2"/>
          </reference>
        </references>
      </pivotArea>
    </format>
    <format dxfId="3">
      <pivotArea dataOnly="0" labelOnly="1" outline="0" fieldPosition="0">
        <references count="1">
          <reference field="5" count="1" defaultSubtotal="1">
            <x v="2"/>
          </reference>
        </references>
      </pivotArea>
    </format>
    <format dxfId="4">
      <pivotArea outline="0" fieldPosition="0">
        <references count="1">
          <reference field="5" count="1" selected="0" defaultSubtotal="1">
            <x v="5"/>
          </reference>
        </references>
      </pivotArea>
    </format>
    <format dxfId="5">
      <pivotArea dataOnly="0" labelOnly="1" outline="0" fieldPosition="0">
        <references count="1">
          <reference field="5" count="1" defaultSubtotal="1">
            <x v="5"/>
          </reference>
        </references>
      </pivotArea>
    </format>
    <format dxfId="6">
      <pivotArea outline="0" fieldPosition="0">
        <references count="1">
          <reference field="5" count="1" selected="0" defaultSubtotal="1">
            <x v="6"/>
          </reference>
        </references>
      </pivotArea>
    </format>
    <format dxfId="7">
      <pivotArea dataOnly="0" labelOnly="1" outline="0" fieldPosition="0">
        <references count="1">
          <reference field="5" count="1" defaultSubtotal="1">
            <x v="6"/>
          </reference>
        </references>
      </pivotArea>
    </format>
    <format dxfId="8">
      <pivotArea outline="0" fieldPosition="0">
        <references count="1">
          <reference field="5" count="1" selected="0" defaultSubtotal="1">
            <x v="7"/>
          </reference>
        </references>
      </pivotArea>
    </format>
    <format dxfId="9">
      <pivotArea dataOnly="0" labelOnly="1" outline="0" fieldPosition="0">
        <references count="1">
          <reference field="5" count="1" defaultSubtotal="1">
            <x v="7"/>
          </reference>
        </references>
      </pivotArea>
    </format>
    <format dxfId="10">
      <pivotArea outline="0" fieldPosition="0">
        <references count="1">
          <reference field="5" count="1" selected="0" defaultSubtotal="1">
            <x v="8"/>
          </reference>
        </references>
      </pivotArea>
    </format>
    <format dxfId="11">
      <pivotArea dataOnly="0" labelOnly="1" outline="0" fieldPosition="0">
        <references count="1">
          <reference field="5" count="1" defaultSubtotal="1">
            <x v="8"/>
          </reference>
        </references>
      </pivotArea>
    </format>
    <format dxfId="12">
      <pivotArea outline="0" fieldPosition="0">
        <references count="1">
          <reference field="5" count="1" selected="0" defaultSubtotal="1">
            <x v="10"/>
          </reference>
        </references>
      </pivotArea>
    </format>
    <format dxfId="13">
      <pivotArea dataOnly="0" labelOnly="1" outline="0" fieldPosition="0">
        <references count="1">
          <reference field="5" count="1" defaultSubtotal="1">
            <x v="10"/>
          </reference>
        </references>
      </pivotArea>
    </format>
    <format dxfId="14">
      <pivotArea outline="0" fieldPosition="0">
        <references count="1">
          <reference field="5" count="1" selected="0" defaultSubtotal="1">
            <x v="12"/>
          </reference>
        </references>
      </pivotArea>
    </format>
    <format dxfId="15">
      <pivotArea dataOnly="0" labelOnly="1" outline="0" fieldPosition="0">
        <references count="1">
          <reference field="5" count="1" defaultSubtotal="1">
            <x v="12"/>
          </reference>
        </references>
      </pivotArea>
    </format>
    <format dxfId="16">
      <pivotArea outline="0" fieldPosition="0">
        <references count="1">
          <reference field="5" count="1" selected="0" defaultSubtotal="1">
            <x v="4"/>
          </reference>
        </references>
      </pivotArea>
    </format>
    <format dxfId="17">
      <pivotArea dataOnly="0" labelOnly="1" outline="0" fieldPosition="0">
        <references count="1">
          <reference field="5" count="1" defaultSubtotal="1">
            <x v="4"/>
          </reference>
        </references>
      </pivotArea>
    </format>
  </formats>
  <chartFormats count="7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8">
          <reference field="4294967294" count="1" selected="0">
            <x v="0"/>
          </reference>
          <reference field="1" count="1" selected="0">
            <x v="17"/>
          </reference>
          <reference field="2" count="1" selected="0">
            <x v="3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7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12" format="3">
      <pivotArea type="data" outline="0" fieldPosition="0">
        <references count="8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5"/>
          </reference>
          <reference field="9" count="1" selected="0">
            <x v="16"/>
          </reference>
          <reference field="10" count="1" selected="0">
            <x v="0"/>
          </reference>
        </references>
      </pivotArea>
    </chartFormat>
    <chartFormat chart="12" format="4">
      <pivotArea type="data" outline="0" fieldPosition="0">
        <references count="8">
          <reference field="4294967294" count="1" selected="0">
            <x v="0"/>
          </reference>
          <reference field="1" count="1" selected="0">
            <x v="19"/>
          </reference>
          <reference field="2" count="1" selected="0">
            <x v="7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4"/>
          </reference>
          <reference field="9" count="1" selected="0">
            <x v="0"/>
          </reference>
          <reference field="10" count="1" selected="0">
            <x v="4"/>
          </reference>
        </references>
      </pivotArea>
    </chartFormat>
    <chartFormat chart="12" format="5">
      <pivotArea type="data" outline="0" fieldPosition="0">
        <references count="8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8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9"/>
          </reference>
          <reference field="9" count="1" selected="0">
            <x v="9"/>
          </reference>
          <reference field="10" count="1" selected="0">
            <x v="5"/>
          </reference>
        </references>
      </pivotArea>
    </chartFormat>
    <chartFormat chart="12" format="6">
      <pivotArea type="data" outline="0" fieldPosition="0">
        <references count="8">
          <reference field="4294967294" count="1" selected="0">
            <x v="0"/>
          </reference>
          <reference field="1" count="1" selected="0">
            <x v="22"/>
          </reference>
          <reference field="2" count="1" selected="0">
            <x v="24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5"/>
          </reference>
          <reference field="9" count="1" selected="0">
            <x v="5"/>
          </reference>
          <reference field="10" count="1" selected="0">
            <x v="6"/>
          </reference>
        </references>
      </pivotArea>
    </chartFormat>
    <chartFormat chart="12" format="7">
      <pivotArea type="data" outline="0" fieldPosition="0">
        <references count="8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21"/>
          </reference>
          <reference field="9" count="1" selected="0">
            <x v="8"/>
          </reference>
          <reference field="10" count="1" selected="0">
            <x v="1"/>
          </reference>
        </references>
      </pivotArea>
    </chartFormat>
    <chartFormat chart="12" format="8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5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9" count="1" selected="0">
            <x v="4"/>
          </reference>
          <reference field="10" count="1" selected="0">
            <x v="6"/>
          </reference>
        </references>
      </pivotArea>
    </chartFormat>
    <chartFormat chart="12" format="9">
      <pivotArea type="data" outline="0" fieldPosition="0">
        <references count="8">
          <reference field="4294967294" count="1" selected="0">
            <x v="0"/>
          </reference>
          <reference field="1" count="1" selected="0">
            <x v="20"/>
          </reference>
          <reference field="2" count="1" selected="0">
            <x v="26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15"/>
          </reference>
          <reference field="9" count="1" selected="0">
            <x v="6"/>
          </reference>
          <reference field="10" count="1" selected="0">
            <x v="0"/>
          </reference>
        </references>
      </pivotArea>
    </chartFormat>
    <chartFormat chart="12" format="10">
      <pivotArea type="data" outline="0" fieldPosition="0">
        <references count="8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3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11"/>
          </reference>
          <reference field="9" count="1" selected="0">
            <x v="14"/>
          </reference>
          <reference field="10" count="1" selected="0">
            <x v="1"/>
          </reference>
        </references>
      </pivotArea>
    </chartFormat>
    <chartFormat chart="12" format="11">
      <pivotArea type="data" outline="0" fieldPosition="0">
        <references count="8">
          <reference field="4294967294" count="1" selected="0">
            <x v="0"/>
          </reference>
          <reference field="1" count="1" selected="0">
            <x v="25"/>
          </reference>
          <reference field="2" count="1" selected="0">
            <x v="17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18"/>
          </reference>
          <reference field="9" count="1" selected="0">
            <x v="19"/>
          </reference>
          <reference field="10" count="1" selected="0">
            <x v="3"/>
          </reference>
        </references>
      </pivotArea>
    </chartFormat>
    <chartFormat chart="12" format="12">
      <pivotArea type="data" outline="0" fieldPosition="0">
        <references count="8">
          <reference field="4294967294" count="1" selected="0">
            <x v="0"/>
          </reference>
          <reference field="1" count="1" selected="0">
            <x v="11"/>
          </reference>
          <reference field="2" count="1" selected="0">
            <x v="18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3"/>
          </reference>
          <reference field="9" count="1" selected="0">
            <x v="14"/>
          </reference>
          <reference field="10" count="1" selected="0">
            <x v="5"/>
          </reference>
        </references>
      </pivotArea>
    </chartFormat>
    <chartFormat chart="12" format="13">
      <pivotArea type="data" outline="0" fieldPosition="0">
        <references count="8">
          <reference field="4294967294" count="1" selected="0">
            <x v="0"/>
          </reference>
          <reference field="1" count="1" selected="0">
            <x v="24"/>
          </reference>
          <reference field="2" count="1" selected="0">
            <x v="19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12"/>
          </reference>
          <reference field="9" count="1" selected="0">
            <x v="20"/>
          </reference>
          <reference field="10" count="1" selected="0">
            <x v="2"/>
          </reference>
        </references>
      </pivotArea>
    </chartFormat>
    <chartFormat chart="12" format="14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1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4"/>
          </reference>
          <reference field="9" count="1" selected="0">
            <x v="15"/>
          </reference>
          <reference field="10" count="1" selected="0">
            <x v="6"/>
          </reference>
        </references>
      </pivotArea>
    </chartFormat>
    <chartFormat chart="12" format="15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9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5"/>
          </reference>
          <reference field="9" count="1" selected="0">
            <x v="13"/>
          </reference>
          <reference field="10" count="1" selected="0">
            <x v="1"/>
          </reference>
        </references>
      </pivotArea>
    </chartFormat>
    <chartFormat chart="12" format="16">
      <pivotArea type="data" outline="0" fieldPosition="0">
        <references count="8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31"/>
          </reference>
          <reference field="4" count="1" selected="0">
            <x v="3"/>
          </reference>
          <reference field="5" count="1" selected="0">
            <x v="4"/>
          </reference>
          <reference field="6" count="1" selected="0">
            <x v="0"/>
          </reference>
          <reference field="9" count="1" selected="0">
            <x v="21"/>
          </reference>
          <reference field="10" count="1" selected="0">
            <x v="6"/>
          </reference>
        </references>
      </pivotArea>
    </chartFormat>
    <chartFormat chart="12" format="17">
      <pivotArea type="data" outline="0" fieldPosition="0">
        <references count="8">
          <reference field="4294967294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2"/>
          </reference>
          <reference field="9" count="1" selected="0">
            <x v="29"/>
          </reference>
          <reference field="10" count="1" selected="0">
            <x v="8"/>
          </reference>
        </references>
      </pivotArea>
    </chartFormat>
    <chartFormat chart="12" format="18">
      <pivotArea type="data" outline="0" fieldPosition="0">
        <references count="8">
          <reference field="4294967294" count="1" selected="0">
            <x v="0"/>
          </reference>
          <reference field="1" count="1" selected="0">
            <x v="13"/>
          </reference>
          <reference field="2" count="1" selected="0">
            <x v="27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19"/>
          </reference>
          <reference field="9" count="1" selected="0">
            <x v="30"/>
          </reference>
          <reference field="10" count="1" selected="0">
            <x v="8"/>
          </reference>
        </references>
      </pivotArea>
    </chartFormat>
    <chartFormat chart="12" format="19">
      <pivotArea type="data" outline="0" fieldPosition="0">
        <references count="8">
          <reference field="4294967294" count="1" selected="0">
            <x v="0"/>
          </reference>
          <reference field="1" count="1" selected="0">
            <x v="15"/>
          </reference>
          <reference field="2" count="1" selected="0">
            <x v="5"/>
          </reference>
          <reference field="4" count="1" selected="0">
            <x v="3"/>
          </reference>
          <reference field="5" count="1" selected="0">
            <x v="7"/>
          </reference>
          <reference field="6" count="1" selected="0">
            <x v="21"/>
          </reference>
          <reference field="9" count="1" selected="0">
            <x v="24"/>
          </reference>
          <reference field="10" count="1" selected="0">
            <x v="7"/>
          </reference>
        </references>
      </pivotArea>
    </chartFormat>
    <chartFormat chart="12" format="20">
      <pivotArea type="data" outline="0" fieldPosition="0">
        <references count="8">
          <reference field="4294967294" count="1" selected="0">
            <x v="0"/>
          </reference>
          <reference field="1" count="1" selected="0">
            <x v="21"/>
          </reference>
          <reference field="2" count="1" selected="0">
            <x v="9"/>
          </reference>
          <reference field="4" count="1" selected="0">
            <x v="1"/>
          </reference>
          <reference field="5" count="1" selected="0">
            <x v="7"/>
          </reference>
          <reference field="6" count="1" selected="0">
            <x v="8"/>
          </reference>
          <reference field="9" count="1" selected="0">
            <x v="27"/>
          </reference>
          <reference field="10" count="1" selected="0">
            <x v="5"/>
          </reference>
        </references>
      </pivotArea>
    </chartFormat>
    <chartFormat chart="12" format="21">
      <pivotArea type="data" outline="0" fieldPosition="0">
        <references count="8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0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20"/>
          </reference>
          <reference field="9" count="1" selected="0">
            <x v="26"/>
          </reference>
          <reference field="10" count="1" selected="0">
            <x v="7"/>
          </reference>
        </references>
      </pivotArea>
    </chartFormat>
    <chartFormat chart="12" format="22">
      <pivotArea type="data" outline="0" fieldPosition="0">
        <references count="8">
          <reference field="4294967294" count="1" selected="0">
            <x v="0"/>
          </reference>
          <reference field="1" count="1" selected="0">
            <x v="24"/>
          </reference>
          <reference field="2" count="1" selected="0">
            <x v="12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9"/>
          </reference>
          <reference field="9" count="1" selected="0">
            <x v="28"/>
          </reference>
          <reference field="10" count="1" selected="0">
            <x v="7"/>
          </reference>
        </references>
      </pivotArea>
    </chartFormat>
    <chartFormat chart="12" format="23">
      <pivotArea type="data" outline="0" fieldPosition="0">
        <references count="8">
          <reference field="4294967294" count="1" selected="0">
            <x v="0"/>
          </reference>
          <reference field="1" count="1" selected="0">
            <x v="11"/>
          </reference>
          <reference field="2" count="1" selected="0">
            <x v="16"/>
          </reference>
          <reference field="4" count="1" selected="0">
            <x v="3"/>
          </reference>
          <reference field="5" count="1" selected="0">
            <x v="7"/>
          </reference>
          <reference field="6" count="1" selected="0">
            <x v="23"/>
          </reference>
          <reference field="9" count="1" selected="0">
            <x v="23"/>
          </reference>
          <reference field="10" count="1" selected="0">
            <x v="7"/>
          </reference>
        </references>
      </pivotArea>
    </chartFormat>
    <chartFormat chart="12" format="24">
      <pivotArea type="data" outline="0" fieldPosition="0">
        <references count="8">
          <reference field="4294967294" count="1" selected="0">
            <x v="0"/>
          </reference>
          <reference field="1" count="1" selected="0">
            <x v="23"/>
          </reference>
          <reference field="2" count="1" selected="0">
            <x v="22"/>
          </reference>
          <reference field="4" count="1" selected="0">
            <x v="3"/>
          </reference>
          <reference field="5" count="1" selected="0">
            <x v="8"/>
          </reference>
          <reference field="6" count="1" selected="0">
            <x v="18"/>
          </reference>
          <reference field="9" count="1" selected="0">
            <x v="18"/>
          </reference>
          <reference field="10" count="1" selected="0">
            <x v="1"/>
          </reference>
        </references>
      </pivotArea>
    </chartFormat>
    <chartFormat chart="12" format="25">
      <pivotArea type="data" outline="0" fieldPosition="0">
        <references count="8">
          <reference field="4294967294" count="1" selected="0">
            <x v="0"/>
          </reference>
          <reference field="1" count="1" selected="0">
            <x v="18"/>
          </reference>
          <reference field="2" count="1" selected="0">
            <x v="23"/>
          </reference>
          <reference field="4" count="1" selected="0">
            <x v="3"/>
          </reference>
          <reference field="5" count="1" selected="0">
            <x v="8"/>
          </reference>
          <reference field="6" count="1" selected="0">
            <x v="1"/>
          </reference>
          <reference field="9" count="1" selected="0">
            <x v="12"/>
          </reference>
          <reference field="10" count="1" selected="0">
            <x v="6"/>
          </reference>
        </references>
      </pivotArea>
    </chartFormat>
    <chartFormat chart="12" format="26">
      <pivotArea type="data" outline="0" fieldPosition="0">
        <references count="8">
          <reference field="4294967294" count="1" selected="0">
            <x v="0"/>
          </reference>
          <reference field="1" count="1" selected="0">
            <x v="19"/>
          </reference>
          <reference field="2" count="1" selected="0">
            <x v="30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10"/>
          </reference>
          <reference field="9" count="1" selected="0">
            <x v="11"/>
          </reference>
          <reference field="10" count="1" selected="0">
            <x v="4"/>
          </reference>
        </references>
      </pivotArea>
    </chartFormat>
    <chartFormat chart="12" format="27">
      <pivotArea type="data" outline="0" fieldPosition="0">
        <references count="8">
          <reference field="4294967294" count="1" selected="0">
            <x v="0"/>
          </reference>
          <reference field="1" count="1" selected="0">
            <x v="17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0"/>
          </reference>
          <reference field="6" count="1" selected="0">
            <x v="8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12" format="28">
      <pivotArea type="data" outline="0" fieldPosition="0">
        <references count="8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3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19"/>
          </reference>
          <reference field="9" count="1" selected="0">
            <x v="7"/>
          </reference>
          <reference field="10" count="1" selected="0">
            <x v="1"/>
          </reference>
        </references>
      </pivotArea>
    </chartFormat>
    <chartFormat chart="12" format="29">
      <pivotArea type="data" outline="0" fieldPosition="0">
        <references count="8">
          <reference field="4294967294" count="1" selected="0">
            <x v="0"/>
          </reference>
          <reference field="1" count="1" selected="0">
            <x v="14"/>
          </reference>
          <reference field="2" count="1" selected="0">
            <x v="1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16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12" format="30">
      <pivotArea type="data" outline="0" fieldPosition="0">
        <references count="8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4" count="1" selected="0">
            <x v="3"/>
          </reference>
          <reference field="5" count="1" selected="0">
            <x v="12"/>
          </reference>
          <reference field="6" count="1" selected="0">
            <x v="21"/>
          </reference>
          <reference field="9" count="1" selected="0">
            <x v="26"/>
          </reference>
          <reference field="10" count="1" selected="0">
            <x v="7"/>
          </reference>
        </references>
      </pivotArea>
    </chartFormat>
    <chartFormat chart="12" format="31">
      <pivotArea type="data" outline="0" fieldPosition="0">
        <references count="8">
          <reference field="4294967294" count="1" selected="0">
            <x v="0"/>
          </reference>
          <reference field="1" count="1" selected="0">
            <x v="16"/>
          </reference>
          <reference field="2" count="1" selected="0">
            <x v="11"/>
          </reference>
          <reference field="4" count="1" selected="0">
            <x v="3"/>
          </reference>
          <reference field="5" count="1" selected="0">
            <x v="12"/>
          </reference>
          <reference field="6" count="1" selected="0">
            <x v="7"/>
          </reference>
          <reference field="9" count="1" selected="0">
            <x v="10"/>
          </reference>
          <reference field="10" count="1" selected="0">
            <x v="3"/>
          </reference>
        </references>
      </pivotArea>
    </chartFormat>
    <chartFormat chart="12" format="32">
      <pivotArea type="data" outline="0" fieldPosition="0">
        <references count="8">
          <reference field="4294967294" count="1" selected="0">
            <x v="0"/>
          </reference>
          <reference field="1" count="1" selected="0">
            <x v="25"/>
          </reference>
          <reference field="2" count="1" selected="0">
            <x v="14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13"/>
          </reference>
          <reference field="9" count="1" selected="0">
            <x v="18"/>
          </reference>
          <reference field="10" count="1" selected="0">
            <x v="5"/>
          </reference>
        </references>
      </pivotArea>
    </chartFormat>
    <chartFormat chart="12" format="33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5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6"/>
          </reference>
          <reference field="9" count="1" selected="0">
            <x v="22"/>
          </reference>
          <reference field="10" count="1" selected="0">
            <x v="3"/>
          </reference>
        </references>
      </pivotArea>
    </chartFormat>
    <chartFormat chart="12" format="34">
      <pivotArea type="data" outline="0" fieldPosition="0">
        <references count="8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0"/>
          </reference>
          <reference field="4" count="1" selected="0">
            <x v="5"/>
          </reference>
          <reference field="5" count="1" selected="0">
            <x v="12"/>
          </reference>
          <reference field="6" count="1" selected="0">
            <x v="19"/>
          </reference>
          <reference field="9" count="1" selected="0">
            <x v="17"/>
          </reference>
          <reference field="10" count="1" selected="0">
            <x v="0"/>
          </reference>
        </references>
      </pivotArea>
    </chartFormat>
    <chartFormat chart="12" format="35">
      <pivotArea type="data" outline="0" fieldPosition="0">
        <references count="8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2"/>
          </reference>
          <reference field="4" count="1" selected="0">
            <x v="0"/>
          </reference>
          <reference field="5" count="1" selected="0">
            <x v="12"/>
          </reference>
          <reference field="6" count="1" selected="0">
            <x v="19"/>
          </reference>
          <reference field="9" count="1" selected="0">
            <x v="25"/>
          </reference>
          <reference field="10" count="1" selected="0">
            <x v="9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8">
          <reference field="4294967294" count="1" selected="0">
            <x v="0"/>
          </reference>
          <reference field="1" count="1" selected="0">
            <x v="17"/>
          </reference>
          <reference field="2" count="1" selected="0">
            <x v="3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7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15" format="2">
      <pivotArea type="data" outline="0" fieldPosition="0">
        <references count="8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6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15"/>
          </reference>
          <reference field="9" count="1" selected="0">
            <x v="16"/>
          </reference>
          <reference field="10" count="1" selected="0">
            <x v="0"/>
          </reference>
        </references>
      </pivotArea>
    </chartFormat>
    <chartFormat chart="15" format="3">
      <pivotArea type="data" outline="0" fieldPosition="0">
        <references count="8">
          <reference field="4294967294" count="1" selected="0">
            <x v="0"/>
          </reference>
          <reference field="1" count="1" selected="0">
            <x v="19"/>
          </reference>
          <reference field="2" count="1" selected="0">
            <x v="7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4"/>
          </reference>
          <reference field="9" count="1" selected="0">
            <x v="0"/>
          </reference>
          <reference field="10" count="1" selected="0">
            <x v="4"/>
          </reference>
        </references>
      </pivotArea>
    </chartFormat>
    <chartFormat chart="15" format="4">
      <pivotArea type="data" outline="0" fieldPosition="0">
        <references count="8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8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9"/>
          </reference>
          <reference field="9" count="1" selected="0">
            <x v="9"/>
          </reference>
          <reference field="10" count="1" selected="0">
            <x v="5"/>
          </reference>
        </references>
      </pivotArea>
    </chartFormat>
    <chartFormat chart="15" format="5">
      <pivotArea type="data" outline="0" fieldPosition="0">
        <references count="8">
          <reference field="4294967294" count="1" selected="0">
            <x v="0"/>
          </reference>
          <reference field="1" count="1" selected="0">
            <x v="22"/>
          </reference>
          <reference field="2" count="1" selected="0">
            <x v="24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15"/>
          </reference>
          <reference field="9" count="1" selected="0">
            <x v="5"/>
          </reference>
          <reference field="10" count="1" selected="0">
            <x v="6"/>
          </reference>
        </references>
      </pivotArea>
    </chartFormat>
    <chartFormat chart="15" format="6">
      <pivotArea type="data" outline="0" fieldPosition="0">
        <references count="8">
          <reference field="4294967294" count="1" selected="0">
            <x v="0"/>
          </reference>
          <reference field="1" count="1" selected="0">
            <x v="5"/>
          </reference>
          <reference field="2" count="1" selected="0">
            <x v="28"/>
          </reference>
          <reference field="4" count="1" selected="0">
            <x v="3"/>
          </reference>
          <reference field="5" count="1" selected="0">
            <x v="1"/>
          </reference>
          <reference field="6" count="1" selected="0">
            <x v="21"/>
          </reference>
          <reference field="9" count="1" selected="0">
            <x v="8"/>
          </reference>
          <reference field="10" count="1" selected="0">
            <x v="1"/>
          </reference>
        </references>
      </pivotArea>
    </chartFormat>
    <chartFormat chart="15" format="7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5"/>
          </reference>
          <reference field="4" count="1" selected="0">
            <x v="2"/>
          </reference>
          <reference field="5" count="1" selected="0">
            <x v="2"/>
          </reference>
          <reference field="6" count="1" selected="0">
            <x v="2"/>
          </reference>
          <reference field="9" count="1" selected="0">
            <x v="4"/>
          </reference>
          <reference field="10" count="1" selected="0">
            <x v="6"/>
          </reference>
        </references>
      </pivotArea>
    </chartFormat>
    <chartFormat chart="15" format="8">
      <pivotArea type="data" outline="0" fieldPosition="0">
        <references count="8">
          <reference field="4294967294" count="1" selected="0">
            <x v="0"/>
          </reference>
          <reference field="1" count="1" selected="0">
            <x v="20"/>
          </reference>
          <reference field="2" count="1" selected="0">
            <x v="26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15"/>
          </reference>
          <reference field="9" count="1" selected="0">
            <x v="6"/>
          </reference>
          <reference field="10" count="1" selected="0">
            <x v="0"/>
          </reference>
        </references>
      </pivotArea>
    </chartFormat>
    <chartFormat chart="15" format="9">
      <pivotArea type="data" outline="0" fieldPosition="0">
        <references count="8">
          <reference field="4294967294" count="1" selected="0">
            <x v="0"/>
          </reference>
          <reference field="1" count="1" selected="0">
            <x v="6"/>
          </reference>
          <reference field="2" count="1" selected="0">
            <x v="13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11"/>
          </reference>
          <reference field="9" count="1" selected="0">
            <x v="14"/>
          </reference>
          <reference field="10" count="1" selected="0">
            <x v="1"/>
          </reference>
        </references>
      </pivotArea>
    </chartFormat>
    <chartFormat chart="15" format="10">
      <pivotArea type="data" outline="0" fieldPosition="0">
        <references count="8">
          <reference field="4294967294" count="1" selected="0">
            <x v="0"/>
          </reference>
          <reference field="1" count="1" selected="0">
            <x v="25"/>
          </reference>
          <reference field="2" count="1" selected="0">
            <x v="17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18"/>
          </reference>
          <reference field="9" count="1" selected="0">
            <x v="19"/>
          </reference>
          <reference field="10" count="1" selected="0">
            <x v="3"/>
          </reference>
        </references>
      </pivotArea>
    </chartFormat>
    <chartFormat chart="15" format="11">
      <pivotArea type="data" outline="0" fieldPosition="0">
        <references count="8">
          <reference field="4294967294" count="1" selected="0">
            <x v="0"/>
          </reference>
          <reference field="1" count="1" selected="0">
            <x v="11"/>
          </reference>
          <reference field="2" count="1" selected="0">
            <x v="18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3"/>
          </reference>
          <reference field="9" count="1" selected="0">
            <x v="14"/>
          </reference>
          <reference field="10" count="1" selected="0">
            <x v="5"/>
          </reference>
        </references>
      </pivotArea>
    </chartFormat>
    <chartFormat chart="15" format="12">
      <pivotArea type="data" outline="0" fieldPosition="0">
        <references count="8">
          <reference field="4294967294" count="1" selected="0">
            <x v="0"/>
          </reference>
          <reference field="1" count="1" selected="0">
            <x v="24"/>
          </reference>
          <reference field="2" count="1" selected="0">
            <x v="19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12"/>
          </reference>
          <reference field="9" count="1" selected="0">
            <x v="20"/>
          </reference>
          <reference field="10" count="1" selected="0">
            <x v="2"/>
          </reference>
        </references>
      </pivotArea>
    </chartFormat>
    <chartFormat chart="15" format="13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1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4"/>
          </reference>
          <reference field="9" count="1" selected="0">
            <x v="15"/>
          </reference>
          <reference field="10" count="1" selected="0">
            <x v="6"/>
          </reference>
        </references>
      </pivotArea>
    </chartFormat>
    <chartFormat chart="15" format="14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29"/>
          </reference>
          <reference field="4" count="1" selected="0">
            <x v="2"/>
          </reference>
          <reference field="5" count="1" selected="0">
            <x v="4"/>
          </reference>
          <reference field="6" count="1" selected="0">
            <x v="5"/>
          </reference>
          <reference field="9" count="1" selected="0">
            <x v="13"/>
          </reference>
          <reference field="10" count="1" selected="0">
            <x v="1"/>
          </reference>
        </references>
      </pivotArea>
    </chartFormat>
    <chartFormat chart="15" format="15">
      <pivotArea type="data" outline="0" fieldPosition="0">
        <references count="8">
          <reference field="4294967294" count="1" selected="0">
            <x v="0"/>
          </reference>
          <reference field="1" count="1" selected="0">
            <x v="9"/>
          </reference>
          <reference field="2" count="1" selected="0">
            <x v="31"/>
          </reference>
          <reference field="4" count="1" selected="0">
            <x v="3"/>
          </reference>
          <reference field="5" count="1" selected="0">
            <x v="4"/>
          </reference>
          <reference field="6" count="1" selected="0">
            <x v="0"/>
          </reference>
          <reference field="9" count="1" selected="0">
            <x v="21"/>
          </reference>
          <reference field="10" count="1" selected="0">
            <x v="6"/>
          </reference>
        </references>
      </pivotArea>
    </chartFormat>
    <chartFormat chart="15" format="16">
      <pivotArea type="data" outline="0" fieldPosition="0">
        <references count="8">
          <reference field="4294967294" count="1" selected="0">
            <x v="0"/>
          </reference>
          <reference field="1" count="1" selected="0">
            <x v="12"/>
          </reference>
          <reference field="2" count="1" selected="0">
            <x v="0"/>
          </reference>
          <reference field="4" count="1" selected="0">
            <x v="3"/>
          </reference>
          <reference field="5" count="1" selected="0">
            <x v="5"/>
          </reference>
          <reference field="6" count="1" selected="0">
            <x v="22"/>
          </reference>
          <reference field="9" count="1" selected="0">
            <x v="29"/>
          </reference>
          <reference field="10" count="1" selected="0">
            <x v="8"/>
          </reference>
        </references>
      </pivotArea>
    </chartFormat>
    <chartFormat chart="15" format="17">
      <pivotArea type="data" outline="0" fieldPosition="0">
        <references count="8">
          <reference field="4294967294" count="1" selected="0">
            <x v="0"/>
          </reference>
          <reference field="1" count="1" selected="0">
            <x v="13"/>
          </reference>
          <reference field="2" count="1" selected="0">
            <x v="27"/>
          </reference>
          <reference field="4" count="1" selected="0">
            <x v="3"/>
          </reference>
          <reference field="5" count="1" selected="0">
            <x v="6"/>
          </reference>
          <reference field="6" count="1" selected="0">
            <x v="19"/>
          </reference>
          <reference field="9" count="1" selected="0">
            <x v="30"/>
          </reference>
          <reference field="10" count="1" selected="0">
            <x v="8"/>
          </reference>
        </references>
      </pivotArea>
    </chartFormat>
    <chartFormat chart="15" format="18">
      <pivotArea type="data" outline="0" fieldPosition="0">
        <references count="8">
          <reference field="4294967294" count="1" selected="0">
            <x v="0"/>
          </reference>
          <reference field="1" count="1" selected="0">
            <x v="15"/>
          </reference>
          <reference field="2" count="1" selected="0">
            <x v="5"/>
          </reference>
          <reference field="4" count="1" selected="0">
            <x v="3"/>
          </reference>
          <reference field="5" count="1" selected="0">
            <x v="7"/>
          </reference>
          <reference field="6" count="1" selected="0">
            <x v="21"/>
          </reference>
          <reference field="9" count="1" selected="0">
            <x v="24"/>
          </reference>
          <reference field="10" count="1" selected="0">
            <x v="7"/>
          </reference>
        </references>
      </pivotArea>
    </chartFormat>
    <chartFormat chart="15" format="19">
      <pivotArea type="data" outline="0" fieldPosition="0">
        <references count="8">
          <reference field="4294967294" count="1" selected="0">
            <x v="0"/>
          </reference>
          <reference field="1" count="1" selected="0">
            <x v="21"/>
          </reference>
          <reference field="2" count="1" selected="0">
            <x v="9"/>
          </reference>
          <reference field="4" count="1" selected="0">
            <x v="1"/>
          </reference>
          <reference field="5" count="1" selected="0">
            <x v="7"/>
          </reference>
          <reference field="6" count="1" selected="0">
            <x v="8"/>
          </reference>
          <reference field="9" count="1" selected="0">
            <x v="27"/>
          </reference>
          <reference field="10" count="1" selected="0">
            <x v="5"/>
          </reference>
        </references>
      </pivotArea>
    </chartFormat>
    <chartFormat chart="15" format="20">
      <pivotArea type="data" outline="0" fieldPosition="0">
        <references count="8">
          <reference field="4294967294" count="1" selected="0">
            <x v="0"/>
          </reference>
          <reference field="1" count="1" selected="0">
            <x v="10"/>
          </reference>
          <reference field="2" count="1" selected="0">
            <x v="10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20"/>
          </reference>
          <reference field="9" count="1" selected="0">
            <x v="26"/>
          </reference>
          <reference field="10" count="1" selected="0">
            <x v="7"/>
          </reference>
        </references>
      </pivotArea>
    </chartFormat>
    <chartFormat chart="15" format="21">
      <pivotArea type="data" outline="0" fieldPosition="0">
        <references count="8">
          <reference field="4294967294" count="1" selected="0">
            <x v="0"/>
          </reference>
          <reference field="1" count="1" selected="0">
            <x v="24"/>
          </reference>
          <reference field="2" count="1" selected="0">
            <x v="12"/>
          </reference>
          <reference field="4" count="1" selected="0">
            <x v="2"/>
          </reference>
          <reference field="5" count="1" selected="0">
            <x v="7"/>
          </reference>
          <reference field="6" count="1" selected="0">
            <x v="9"/>
          </reference>
          <reference field="9" count="1" selected="0">
            <x v="28"/>
          </reference>
          <reference field="10" count="1" selected="0">
            <x v="7"/>
          </reference>
        </references>
      </pivotArea>
    </chartFormat>
    <chartFormat chart="15" format="22">
      <pivotArea type="data" outline="0" fieldPosition="0">
        <references count="8">
          <reference field="4294967294" count="1" selected="0">
            <x v="0"/>
          </reference>
          <reference field="1" count="1" selected="0">
            <x v="11"/>
          </reference>
          <reference field="2" count="1" selected="0">
            <x v="16"/>
          </reference>
          <reference field="4" count="1" selected="0">
            <x v="3"/>
          </reference>
          <reference field="5" count="1" selected="0">
            <x v="7"/>
          </reference>
          <reference field="6" count="1" selected="0">
            <x v="23"/>
          </reference>
          <reference field="9" count="1" selected="0">
            <x v="23"/>
          </reference>
          <reference field="10" count="1" selected="0">
            <x v="7"/>
          </reference>
        </references>
      </pivotArea>
    </chartFormat>
    <chartFormat chart="15" format="23">
      <pivotArea type="data" outline="0" fieldPosition="0">
        <references count="8">
          <reference field="4294967294" count="1" selected="0">
            <x v="0"/>
          </reference>
          <reference field="1" count="1" selected="0">
            <x v="23"/>
          </reference>
          <reference field="2" count="1" selected="0">
            <x v="22"/>
          </reference>
          <reference field="4" count="1" selected="0">
            <x v="3"/>
          </reference>
          <reference field="5" count="1" selected="0">
            <x v="8"/>
          </reference>
          <reference field="6" count="1" selected="0">
            <x v="18"/>
          </reference>
          <reference field="9" count="1" selected="0">
            <x v="18"/>
          </reference>
          <reference field="10" count="1" selected="0">
            <x v="1"/>
          </reference>
        </references>
      </pivotArea>
    </chartFormat>
    <chartFormat chart="15" format="24">
      <pivotArea type="data" outline="0" fieldPosition="0">
        <references count="8">
          <reference field="4294967294" count="1" selected="0">
            <x v="0"/>
          </reference>
          <reference field="1" count="1" selected="0">
            <x v="18"/>
          </reference>
          <reference field="2" count="1" selected="0">
            <x v="23"/>
          </reference>
          <reference field="4" count="1" selected="0">
            <x v="3"/>
          </reference>
          <reference field="5" count="1" selected="0">
            <x v="8"/>
          </reference>
          <reference field="6" count="1" selected="0">
            <x v="1"/>
          </reference>
          <reference field="9" count="1" selected="0">
            <x v="12"/>
          </reference>
          <reference field="10" count="1" selected="0">
            <x v="6"/>
          </reference>
        </references>
      </pivotArea>
    </chartFormat>
    <chartFormat chart="15" format="25">
      <pivotArea type="data" outline="0" fieldPosition="0">
        <references count="8">
          <reference field="4294967294" count="1" selected="0">
            <x v="0"/>
          </reference>
          <reference field="1" count="1" selected="0">
            <x v="19"/>
          </reference>
          <reference field="2" count="1" selected="0">
            <x v="30"/>
          </reference>
          <reference field="4" count="1" selected="0">
            <x v="2"/>
          </reference>
          <reference field="5" count="1" selected="0">
            <x v="8"/>
          </reference>
          <reference field="6" count="1" selected="0">
            <x v="10"/>
          </reference>
          <reference field="9" count="1" selected="0">
            <x v="11"/>
          </reference>
          <reference field="10" count="1" selected="0">
            <x v="4"/>
          </reference>
        </references>
      </pivotArea>
    </chartFormat>
    <chartFormat chart="15" format="26">
      <pivotArea type="data" outline="0" fieldPosition="0">
        <references count="8">
          <reference field="4294967294" count="1" selected="0">
            <x v="0"/>
          </reference>
          <reference field="1" count="1" selected="0">
            <x v="17"/>
          </reference>
          <reference field="2" count="1" selected="0">
            <x v="2"/>
          </reference>
          <reference field="4" count="1" selected="0">
            <x v="5"/>
          </reference>
          <reference field="5" count="1" selected="0">
            <x v="10"/>
          </reference>
          <reference field="6" count="1" selected="0">
            <x v="8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15" format="27">
      <pivotArea type="data" outline="0" fieldPosition="0">
        <references count="8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3"/>
          </reference>
          <reference field="4" count="1" selected="0">
            <x v="2"/>
          </reference>
          <reference field="5" count="1" selected="0">
            <x v="10"/>
          </reference>
          <reference field="6" count="1" selected="0">
            <x v="19"/>
          </reference>
          <reference field="9" count="1" selected="0">
            <x v="7"/>
          </reference>
          <reference field="10" count="1" selected="0">
            <x v="1"/>
          </reference>
        </references>
      </pivotArea>
    </chartFormat>
    <chartFormat chart="15" format="28">
      <pivotArea type="data" outline="0" fieldPosition="0">
        <references count="8">
          <reference field="4294967294" count="1" selected="0">
            <x v="0"/>
          </reference>
          <reference field="1" count="1" selected="0">
            <x v="14"/>
          </reference>
          <reference field="2" count="1" selected="0">
            <x v="1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16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15" format="29">
      <pivotArea type="data" outline="0" fieldPosition="0">
        <references count="8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  <reference field="4" count="1" selected="0">
            <x v="3"/>
          </reference>
          <reference field="5" count="1" selected="0">
            <x v="12"/>
          </reference>
          <reference field="6" count="1" selected="0">
            <x v="21"/>
          </reference>
          <reference field="9" count="1" selected="0">
            <x v="26"/>
          </reference>
          <reference field="10" count="1" selected="0">
            <x v="7"/>
          </reference>
        </references>
      </pivotArea>
    </chartFormat>
    <chartFormat chart="15" format="30">
      <pivotArea type="data" outline="0" fieldPosition="0">
        <references count="8">
          <reference field="4294967294" count="1" selected="0">
            <x v="0"/>
          </reference>
          <reference field="1" count="1" selected="0">
            <x v="16"/>
          </reference>
          <reference field="2" count="1" selected="0">
            <x v="11"/>
          </reference>
          <reference field="4" count="1" selected="0">
            <x v="3"/>
          </reference>
          <reference field="5" count="1" selected="0">
            <x v="12"/>
          </reference>
          <reference field="6" count="1" selected="0">
            <x v="7"/>
          </reference>
          <reference field="9" count="1" selected="0">
            <x v="10"/>
          </reference>
          <reference field="10" count="1" selected="0">
            <x v="3"/>
          </reference>
        </references>
      </pivotArea>
    </chartFormat>
    <chartFormat chart="15" format="31">
      <pivotArea type="data" outline="0" fieldPosition="0">
        <references count="8">
          <reference field="4294967294" count="1" selected="0">
            <x v="0"/>
          </reference>
          <reference field="1" count="1" selected="0">
            <x v="25"/>
          </reference>
          <reference field="2" count="1" selected="0">
            <x v="14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13"/>
          </reference>
          <reference field="9" count="1" selected="0">
            <x v="18"/>
          </reference>
          <reference field="10" count="1" selected="0">
            <x v="5"/>
          </reference>
        </references>
      </pivotArea>
    </chartFormat>
    <chartFormat chart="15" format="32">
      <pivotArea type="data" outline="0" fieldPosition="0">
        <references count="8">
          <reference field="4294967294" count="1" selected="0">
            <x v="0"/>
          </reference>
          <reference field="1" count="1" selected="0">
            <x v="8"/>
          </reference>
          <reference field="2" count="1" selected="0">
            <x v="15"/>
          </reference>
          <reference field="4" count="1" selected="0">
            <x v="2"/>
          </reference>
          <reference field="5" count="1" selected="0">
            <x v="12"/>
          </reference>
          <reference field="6" count="1" selected="0">
            <x v="6"/>
          </reference>
          <reference field="9" count="1" selected="0">
            <x v="22"/>
          </reference>
          <reference field="10" count="1" selected="0">
            <x v="3"/>
          </reference>
        </references>
      </pivotArea>
    </chartFormat>
    <chartFormat chart="15" format="33">
      <pivotArea type="data" outline="0" fieldPosition="0">
        <references count="8">
          <reference field="4294967294" count="1" selected="0">
            <x v="0"/>
          </reference>
          <reference field="1" count="1" selected="0">
            <x v="7"/>
          </reference>
          <reference field="2" count="1" selected="0">
            <x v="20"/>
          </reference>
          <reference field="4" count="1" selected="0">
            <x v="5"/>
          </reference>
          <reference field="5" count="1" selected="0">
            <x v="12"/>
          </reference>
          <reference field="6" count="1" selected="0">
            <x v="19"/>
          </reference>
          <reference field="9" count="1" selected="0">
            <x v="17"/>
          </reference>
          <reference field="10" count="1" selected="0">
            <x v="0"/>
          </reference>
        </references>
      </pivotArea>
    </chartFormat>
    <chartFormat chart="15" format="34">
      <pivotArea type="data" outline="0" fieldPosition="0">
        <references count="8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2"/>
          </reference>
          <reference field="4" count="1" selected="0">
            <x v="0"/>
          </reference>
          <reference field="5" count="1" selected="0">
            <x v="12"/>
          </reference>
          <reference field="6" count="1" selected="0">
            <x v="19"/>
          </reference>
          <reference field="9" count="1" selected="0">
            <x v="25"/>
          </reference>
          <reference field="10" count="1" selected="0">
            <x v="9"/>
          </reference>
        </references>
      </pivotArea>
    </chartFormat>
  </chartFormats>
  <pivotTableStyleInfo name="PivotStyleMedium9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go" xr10:uid="{6D2D6BCD-3D66-4A8D-A8A2-EAFCA8DDF146}" sourceName="Cargo">
  <pivotTables>
    <pivotTable tabId="3" name="TablaDinámica2"/>
  </pivotTables>
  <data>
    <tabular pivotCacheId="1185648416">
      <items count="13">
        <i x="2" s="1"/>
        <i x="5" s="1"/>
        <i x="9" s="1"/>
        <i x="4" s="1"/>
        <i x="8" s="1"/>
        <i x="7" s="1"/>
        <i x="1" s="1"/>
        <i x="6" s="1"/>
        <i x="3" s="1"/>
        <i x="0" s="1"/>
        <i x="10" s="1" nd="1"/>
        <i x="12" s="1" nd="1"/>
        <i x="1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gas_familiares" xr10:uid="{F0DD7801-54C2-4EE2-BA28-B2A44364253D}" sourceName="Cargas familiares">
  <pivotTables>
    <pivotTable tabId="7" name="TablaDinámica4"/>
  </pivotTables>
  <data>
    <tabular pivotCacheId="1185648416">
      <items count="5">
        <i x="1" s="1"/>
        <i x="3" s="1"/>
        <i x="0" s="1"/>
        <i x="4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ntiguedad" xr10:uid="{E1C0D120-57A3-4E32-8841-F46E15F468A9}" sourceName="Antiguedad">
  <pivotTables>
    <pivotTable tabId="5" name="TablaDinámica2"/>
  </pivotTables>
  <data>
    <tabular pivotCacheId="1185648416">
      <items count="6">
        <i x="0" s="1"/>
        <i x="1" s="1"/>
        <i x="2" s="1"/>
        <i x="3" s="1"/>
        <i x="4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RPF" xr10:uid="{9B249EDE-76B5-49C2-8AD3-8CDC496EAE38}" sourceName="IRPF">
  <pivotTables>
    <pivotTable tabId="4" name="TablaDinámica1"/>
  </pivotTables>
  <data>
    <tabular pivotCacheId="1185648416">
      <items count="10">
        <i x="9" s="1"/>
        <i x="2" s="1"/>
        <i x="5" s="1"/>
        <i x="4" s="1"/>
        <i x="6" s="1"/>
        <i x="1" s="1"/>
        <i x="3" s="1"/>
        <i x="7" s="1"/>
        <i x="8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go" xr10:uid="{5B5A4036-8643-4730-A59A-D84A7ABBF4B6}" cache="SegmentaciónDeDatos_Cargo" caption="Cargo" columnCount="5" style="SlicerStyleDark1" rowHeight="180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RPF" xr10:uid="{98ECD3B0-3AF8-494F-82A7-EBD242AD87BE}" cache="SegmentaciónDeDatos_IRPF" caption="IRPF" columnCount="10" style="SlicerStyleOther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tiguedad" xr10:uid="{CFF28EE5-34B8-42E0-A777-D70AF9F1F2E0}" cache="SegmentaciónDeDatos_Antiguedad" caption="Antiguedad" columnCount="6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rgas familiares" xr10:uid="{484CFDD1-3C24-48C9-B49B-452A8413D490}" cache="SegmentaciónDeDatos_Cargas_familiares" caption="Cargas familiares" columnCount="5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27ECB-D51F-4B12-9E5F-38352A120D74}" name="OrigenDatos" displayName="OrigenDatos" ref="A1:N36" totalsRowCount="1" headerRowDxfId="47" dataDxfId="46">
  <autoFilter ref="A1:N35" xr:uid="{97427ECB-D51F-4B12-9E5F-38352A120D74}"/>
  <sortState xmlns:xlrd2="http://schemas.microsoft.com/office/spreadsheetml/2017/richdata2" ref="A2:N35">
    <sortCondition ref="E2:E35"/>
  </sortState>
  <tableColumns count="14">
    <tableColumn id="1" xr3:uid="{5D62D2BD-7BD7-4943-B914-C84AEE6B1D6D}" name="Código empleado" totalsRowLabel="Total" dataDxfId="45" totalsRowDxfId="44"/>
    <tableColumn id="2" xr3:uid="{6D5FF264-ECE6-453F-9D4E-EB96BF8EDDBF}" name="Nombre" dataDxfId="43" totalsRowDxfId="42"/>
    <tableColumn id="3" xr3:uid="{E979C7DA-0478-4628-BAE7-8CD7FCE10114}" name="Apellidos" totalsRowFunction="count" dataDxfId="41" totalsRowDxfId="40"/>
    <tableColumn id="4" xr3:uid="{FF83EC04-ABAB-4337-8BF1-0564D76DC511}" name="Fecha de ingreso" dataDxfId="39" totalsRowDxfId="38"/>
    <tableColumn id="17" xr3:uid="{DADD6A45-61A6-47AB-98C8-86D0D3FA70D5}" name="Antiguedad" dataDxfId="37" totalsRowDxfId="36">
      <calculatedColumnFormula>DATEDIF(OrigenDatos[[#This Row],[Fecha de ingreso]],TODAY(),"Y")</calculatedColumnFormula>
    </tableColumn>
    <tableColumn id="5" xr3:uid="{48585BDD-EDFD-40B5-8CAA-ED231A50F992}" name="Cargo" dataDxfId="35" totalsRowDxfId="34"/>
    <tableColumn id="13" xr3:uid="{0C319C7B-4A13-4DCA-ACC6-F09B0C9C67D5}" name="Horas trabajadas año" totalsRowFunction="sum" dataDxfId="33" totalsRowDxfId="32"/>
    <tableColumn id="14" xr3:uid="{BE448C6E-1906-4295-A6BF-2DA40B7CDC72}" name="Horas no trabajadas año" totalsRowFunction="sum" dataDxfId="31" totalsRowDxfId="30"/>
    <tableColumn id="15" xr3:uid="{CD9966FF-560A-45E0-8636-0BE9F460D59E}" name="Horas reales trabajadas" totalsRowFunction="sum" dataDxfId="29" totalsRowDxfId="28">
      <calculatedColumnFormula>OrigenDatos[[#This Row],[Horas trabajadas año]]-OrigenDatos[[#This Row],[Horas no trabajadas año]]</calculatedColumnFormula>
    </tableColumn>
    <tableColumn id="8" xr3:uid="{0EEDD5E4-1D78-48CA-B0E6-E0E1A7209D37}" name="Precio hora" totalsRowFunction="max" dataDxfId="27" totalsRowDxfId="26"/>
    <tableColumn id="9" xr3:uid="{110DD55F-F961-4E36-A32F-EB792DA1F139}" name="IRPF" totalsRowFunction="average" dataDxfId="25" totalsRowDxfId="24"/>
    <tableColumn id="10" xr3:uid="{0388D281-B37A-4822-A9FD-935967CD611B}" name="Cargas familiares" dataDxfId="23" totalsRowDxfId="22"/>
    <tableColumn id="12" xr3:uid="{5701FF5C-A06B-41BA-A514-25AC6F7C72C7}" name="Total Anual" totalsRowFunction="sum" dataDxfId="21" totalsRowDxfId="20">
      <calculatedColumnFormula>OrigenDatos[[#This Row],[Horas trabajadas año]]*OrigenDatos[[#This Row],[Precio hora]]</calculatedColumnFormula>
    </tableColumn>
    <tableColumn id="16" xr3:uid="{5026DFEC-3120-4893-B224-24FB4BCCB294}" name="Total.Neto Anual" totalsRowFunction="sum" dataDxfId="19" totalsRowDxfId="18">
      <calculatedColumnFormula>(1-OrigenDatos[[#This Row],[IRPF]])*(OrigenDatos[[#This Row],[Horas reales trabajadas]]*OrigenDatos[[#This Row],[Precio hora]])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FFAB-D115-4F5C-A978-B4A342F8A581}">
  <dimension ref="A5:D41"/>
  <sheetViews>
    <sheetView showGridLines="0" workbookViewId="0">
      <pane ySplit="6" topLeftCell="A7" activePane="bottomLeft" state="frozen"/>
      <selection pane="bottomLeft" activeCell="B52" sqref="B52"/>
    </sheetView>
  </sheetViews>
  <sheetFormatPr baseColWidth="10" defaultRowHeight="15" x14ac:dyDescent="0.2"/>
  <cols>
    <col min="1" max="1" width="26.33203125" customWidth="1"/>
    <col min="2" max="2" width="28.1640625" customWidth="1"/>
    <col min="3" max="3" width="18.5" bestFit="1" customWidth="1"/>
    <col min="4" max="4" width="12.83203125" bestFit="1" customWidth="1"/>
  </cols>
  <sheetData>
    <row r="5" spans="1:4" x14ac:dyDescent="0.2">
      <c r="A5" s="15" t="s">
        <v>144</v>
      </c>
    </row>
    <row r="6" spans="1:4" x14ac:dyDescent="0.2">
      <c r="A6" s="15" t="s">
        <v>138</v>
      </c>
      <c r="B6" s="15" t="s">
        <v>1</v>
      </c>
      <c r="C6" s="15" t="s">
        <v>2</v>
      </c>
      <c r="D6" t="s">
        <v>142</v>
      </c>
    </row>
    <row r="7" spans="1:4" x14ac:dyDescent="0.2">
      <c r="A7" s="4">
        <v>807</v>
      </c>
      <c r="B7" t="s">
        <v>76</v>
      </c>
      <c r="C7" t="s">
        <v>77</v>
      </c>
      <c r="D7" s="16">
        <v>8497.0751999999993</v>
      </c>
    </row>
    <row r="8" spans="1:4" x14ac:dyDescent="0.2">
      <c r="A8" s="4">
        <v>813</v>
      </c>
      <c r="B8" t="s">
        <v>66</v>
      </c>
      <c r="C8" t="s">
        <v>67</v>
      </c>
      <c r="D8" s="16">
        <v>7530.7891999999993</v>
      </c>
    </row>
    <row r="9" spans="1:4" x14ac:dyDescent="0.2">
      <c r="A9" s="4">
        <v>817</v>
      </c>
      <c r="B9" t="s">
        <v>84</v>
      </c>
      <c r="C9" t="s">
        <v>85</v>
      </c>
      <c r="D9" s="16">
        <v>6655.7865999999995</v>
      </c>
    </row>
    <row r="10" spans="1:4" x14ac:dyDescent="0.2">
      <c r="A10" s="4">
        <v>821</v>
      </c>
      <c r="B10" t="s">
        <v>72</v>
      </c>
      <c r="C10" t="s">
        <v>81</v>
      </c>
      <c r="D10" s="16">
        <v>7834.0415999999996</v>
      </c>
    </row>
    <row r="11" spans="1:4" x14ac:dyDescent="0.2">
      <c r="A11" s="4">
        <v>835</v>
      </c>
      <c r="B11" t="s">
        <v>84</v>
      </c>
      <c r="C11" t="s">
        <v>122</v>
      </c>
      <c r="D11" s="16">
        <v>8029.8847999999989</v>
      </c>
    </row>
    <row r="12" spans="1:4" x14ac:dyDescent="0.2">
      <c r="A12" s="4">
        <v>857</v>
      </c>
      <c r="B12" t="s">
        <v>84</v>
      </c>
      <c r="C12" t="s">
        <v>101</v>
      </c>
      <c r="D12" s="16">
        <v>8938.5120000000006</v>
      </c>
    </row>
    <row r="13" spans="1:4" x14ac:dyDescent="0.2">
      <c r="A13" s="4">
        <v>864</v>
      </c>
      <c r="B13" t="s">
        <v>84</v>
      </c>
      <c r="C13" t="s">
        <v>135</v>
      </c>
      <c r="D13" s="16">
        <v>9229.5887999999995</v>
      </c>
    </row>
    <row r="14" spans="1:4" x14ac:dyDescent="0.2">
      <c r="A14" s="4">
        <v>876</v>
      </c>
      <c r="B14" t="s">
        <v>61</v>
      </c>
      <c r="C14" t="s">
        <v>62</v>
      </c>
      <c r="D14" s="16">
        <v>8785.2784000000011</v>
      </c>
    </row>
    <row r="15" spans="1:4" x14ac:dyDescent="0.2">
      <c r="A15" s="4">
        <v>900</v>
      </c>
      <c r="B15" t="s">
        <v>19</v>
      </c>
      <c r="C15" t="s">
        <v>37</v>
      </c>
      <c r="D15" s="16">
        <v>8238.2849999999999</v>
      </c>
    </row>
    <row r="16" spans="1:4" x14ac:dyDescent="0.2">
      <c r="B16" t="s">
        <v>14</v>
      </c>
      <c r="C16" t="s">
        <v>15</v>
      </c>
      <c r="D16" s="16">
        <v>12966.743999999999</v>
      </c>
    </row>
    <row r="17" spans="1:4" x14ac:dyDescent="0.2">
      <c r="A17" s="4">
        <v>908</v>
      </c>
      <c r="B17" t="s">
        <v>97</v>
      </c>
      <c r="C17" t="s">
        <v>115</v>
      </c>
      <c r="D17" s="16">
        <v>13992.742400000001</v>
      </c>
    </row>
    <row r="18" spans="1:4" x14ac:dyDescent="0.2">
      <c r="A18" s="4">
        <v>932</v>
      </c>
      <c r="B18" t="s">
        <v>104</v>
      </c>
      <c r="C18" t="s">
        <v>105</v>
      </c>
      <c r="D18" s="16">
        <v>9251.4</v>
      </c>
    </row>
    <row r="19" spans="1:4" x14ac:dyDescent="0.2">
      <c r="A19" s="4">
        <v>952</v>
      </c>
      <c r="B19" t="s">
        <v>124</v>
      </c>
      <c r="C19" t="s">
        <v>125</v>
      </c>
      <c r="D19" s="16">
        <v>9421.3503999999994</v>
      </c>
    </row>
    <row r="20" spans="1:4" x14ac:dyDescent="0.2">
      <c r="A20" s="4">
        <v>962</v>
      </c>
      <c r="B20" t="s">
        <v>97</v>
      </c>
      <c r="C20" t="s">
        <v>98</v>
      </c>
      <c r="D20" s="16">
        <v>10544.7132</v>
      </c>
    </row>
    <row r="21" spans="1:4" x14ac:dyDescent="0.2">
      <c r="A21" s="4">
        <v>971</v>
      </c>
      <c r="B21" t="s">
        <v>89</v>
      </c>
      <c r="C21" t="s">
        <v>128</v>
      </c>
      <c r="D21" s="16">
        <v>10062.3012</v>
      </c>
    </row>
    <row r="22" spans="1:4" x14ac:dyDescent="0.2">
      <c r="A22" s="4">
        <v>977</v>
      </c>
      <c r="B22" t="s">
        <v>104</v>
      </c>
      <c r="C22" t="s">
        <v>112</v>
      </c>
      <c r="D22" s="16">
        <v>7878.3865000000005</v>
      </c>
    </row>
    <row r="23" spans="1:4" x14ac:dyDescent="0.2">
      <c r="A23" s="4">
        <v>980</v>
      </c>
      <c r="B23" t="s">
        <v>31</v>
      </c>
      <c r="C23" t="s">
        <v>32</v>
      </c>
      <c r="D23" s="16">
        <v>10083.255000000001</v>
      </c>
    </row>
    <row r="24" spans="1:4" x14ac:dyDescent="0.2">
      <c r="B24" t="s">
        <v>51</v>
      </c>
      <c r="C24" t="s">
        <v>52</v>
      </c>
      <c r="D24" s="16">
        <v>9451.5330000000013</v>
      </c>
    </row>
    <row r="25" spans="1:4" x14ac:dyDescent="0.2">
      <c r="B25" t="s">
        <v>131</v>
      </c>
      <c r="C25" t="s">
        <v>132</v>
      </c>
      <c r="D25" s="16">
        <v>9132.2741999999998</v>
      </c>
    </row>
    <row r="26" spans="1:4" x14ac:dyDescent="0.2">
      <c r="A26" s="4">
        <v>984</v>
      </c>
      <c r="B26" t="s">
        <v>93</v>
      </c>
      <c r="C26" t="s">
        <v>94</v>
      </c>
      <c r="D26" s="16">
        <v>8391.7415999999994</v>
      </c>
    </row>
    <row r="27" spans="1:4" x14ac:dyDescent="0.2">
      <c r="A27" s="4">
        <v>987</v>
      </c>
      <c r="B27" t="s">
        <v>19</v>
      </c>
      <c r="C27" t="s">
        <v>20</v>
      </c>
      <c r="D27" s="16">
        <v>8682.8896000000004</v>
      </c>
    </row>
    <row r="28" spans="1:4" x14ac:dyDescent="0.2">
      <c r="A28" s="4">
        <v>999</v>
      </c>
      <c r="B28" t="s">
        <v>108</v>
      </c>
      <c r="C28" t="s">
        <v>109</v>
      </c>
      <c r="D28" s="16">
        <v>10687.089599999999</v>
      </c>
    </row>
    <row r="29" spans="1:4" x14ac:dyDescent="0.2">
      <c r="B29" t="s">
        <v>89</v>
      </c>
      <c r="C29" t="s">
        <v>90</v>
      </c>
      <c r="D29" s="16">
        <v>10675.696</v>
      </c>
    </row>
    <row r="30" spans="1:4" x14ac:dyDescent="0.2">
      <c r="A30" s="4">
        <v>1000</v>
      </c>
      <c r="B30" t="s">
        <v>34</v>
      </c>
      <c r="C30" t="s">
        <v>35</v>
      </c>
      <c r="D30" s="16">
        <v>9464.5231999999996</v>
      </c>
    </row>
    <row r="31" spans="1:4" x14ac:dyDescent="0.2">
      <c r="B31" t="s">
        <v>8</v>
      </c>
      <c r="C31" t="s">
        <v>9</v>
      </c>
      <c r="D31" s="16">
        <v>13980.581999999999</v>
      </c>
    </row>
    <row r="32" spans="1:4" x14ac:dyDescent="0.2">
      <c r="B32" t="s">
        <v>58</v>
      </c>
      <c r="C32" t="s">
        <v>59</v>
      </c>
      <c r="D32" s="16">
        <v>9118.6787999999997</v>
      </c>
    </row>
    <row r="33" spans="1:4" x14ac:dyDescent="0.2">
      <c r="B33" t="s">
        <v>44</v>
      </c>
      <c r="C33" t="s">
        <v>45</v>
      </c>
      <c r="D33" s="16">
        <v>10407.090400000001</v>
      </c>
    </row>
    <row r="34" spans="1:4" x14ac:dyDescent="0.2">
      <c r="B34" t="s">
        <v>26</v>
      </c>
      <c r="C34" t="s">
        <v>27</v>
      </c>
      <c r="D34" s="16">
        <v>15524.784000000001</v>
      </c>
    </row>
    <row r="35" spans="1:4" x14ac:dyDescent="0.2">
      <c r="A35" s="4">
        <v>1004</v>
      </c>
      <c r="B35" t="s">
        <v>118</v>
      </c>
      <c r="C35" t="s">
        <v>119</v>
      </c>
      <c r="D35" s="16">
        <v>14460.208000000002</v>
      </c>
    </row>
    <row r="36" spans="1:4" x14ac:dyDescent="0.2">
      <c r="A36" s="4">
        <v>1010</v>
      </c>
      <c r="B36" t="s">
        <v>23</v>
      </c>
      <c r="C36" t="s">
        <v>24</v>
      </c>
      <c r="D36" s="16">
        <v>13875.646400000001</v>
      </c>
    </row>
    <row r="37" spans="1:4" x14ac:dyDescent="0.2">
      <c r="B37" t="s">
        <v>40</v>
      </c>
      <c r="C37" t="s">
        <v>41</v>
      </c>
      <c r="D37" s="16">
        <v>9609.9519999999993</v>
      </c>
    </row>
    <row r="38" spans="1:4" x14ac:dyDescent="0.2">
      <c r="B38" t="s">
        <v>55</v>
      </c>
      <c r="C38" t="s">
        <v>56</v>
      </c>
      <c r="D38" s="16">
        <v>14022.000000000002</v>
      </c>
    </row>
    <row r="39" spans="1:4" x14ac:dyDescent="0.2">
      <c r="A39" s="4">
        <v>1012</v>
      </c>
      <c r="B39" t="s">
        <v>47</v>
      </c>
      <c r="C39" t="s">
        <v>48</v>
      </c>
      <c r="D39" s="16">
        <v>16074.45</v>
      </c>
    </row>
    <row r="40" spans="1:4" x14ac:dyDescent="0.2">
      <c r="A40" s="4">
        <v>1061</v>
      </c>
      <c r="B40" t="s">
        <v>72</v>
      </c>
      <c r="C40" t="s">
        <v>73</v>
      </c>
      <c r="D40" s="16">
        <v>14535.746400000002</v>
      </c>
    </row>
    <row r="41" spans="1:4" x14ac:dyDescent="0.2">
      <c r="A41" s="4" t="s">
        <v>143</v>
      </c>
      <c r="D41" s="16">
        <v>356035.01949999994</v>
      </c>
    </row>
  </sheetData>
  <autoFilter ref="A6:D41" xr:uid="{90D3FFAB-D115-4F5C-A978-B4A342F8A581}"/>
  <conditionalFormatting pivot="1" sqref="D7:D40">
    <cfRule type="iconSet" priority="1">
      <iconSet iconSet="3Symbols2">
        <cfvo type="percent" val="0"/>
        <cfvo type="num" val="6000"/>
        <cfvo type="num" val="9000"/>
      </iconSet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9DE7-8765-4994-A4F4-EE57BFE1818F}">
  <dimension ref="A3:D41"/>
  <sheetViews>
    <sheetView showGridLines="0" workbookViewId="0">
      <selection activeCell="D8" sqref="D8:D25"/>
    </sheetView>
  </sheetViews>
  <sheetFormatPr baseColWidth="10" defaultRowHeight="15" x14ac:dyDescent="0.2"/>
  <cols>
    <col min="1" max="2" width="24.33203125" bestFit="1" customWidth="1"/>
    <col min="3" max="3" width="21.6640625" bestFit="1" customWidth="1"/>
    <col min="4" max="4" width="12.83203125" bestFit="1" customWidth="1"/>
  </cols>
  <sheetData>
    <row r="3" spans="1:4" x14ac:dyDescent="0.2">
      <c r="A3" s="15" t="s">
        <v>4</v>
      </c>
      <c r="B3" t="s">
        <v>145</v>
      </c>
    </row>
    <row r="5" spans="1:4" x14ac:dyDescent="0.2">
      <c r="A5" s="15" t="s">
        <v>144</v>
      </c>
    </row>
    <row r="6" spans="1:4" x14ac:dyDescent="0.2">
      <c r="A6" s="15" t="s">
        <v>2</v>
      </c>
      <c r="B6" s="15" t="s">
        <v>1</v>
      </c>
      <c r="C6" s="15" t="s">
        <v>138</v>
      </c>
      <c r="D6" t="s">
        <v>142</v>
      </c>
    </row>
    <row r="7" spans="1:4" x14ac:dyDescent="0.2">
      <c r="A7" t="s">
        <v>48</v>
      </c>
      <c r="B7" t="s">
        <v>47</v>
      </c>
      <c r="C7" s="4">
        <v>1012</v>
      </c>
      <c r="D7" s="16">
        <v>16074.45</v>
      </c>
    </row>
    <row r="8" spans="1:4" x14ac:dyDescent="0.2">
      <c r="A8" t="s">
        <v>27</v>
      </c>
      <c r="B8" t="s">
        <v>26</v>
      </c>
      <c r="C8" s="4">
        <v>1000</v>
      </c>
      <c r="D8" s="16">
        <v>15524.784000000001</v>
      </c>
    </row>
    <row r="9" spans="1:4" x14ac:dyDescent="0.2">
      <c r="A9" t="s">
        <v>73</v>
      </c>
      <c r="B9" t="s">
        <v>72</v>
      </c>
      <c r="C9" s="4">
        <v>1061</v>
      </c>
      <c r="D9" s="16">
        <v>14535.746400000002</v>
      </c>
    </row>
    <row r="10" spans="1:4" x14ac:dyDescent="0.2">
      <c r="A10" t="s">
        <v>119</v>
      </c>
      <c r="B10" t="s">
        <v>118</v>
      </c>
      <c r="C10" s="4">
        <v>1004</v>
      </c>
      <c r="D10" s="16">
        <v>14460.208000000002</v>
      </c>
    </row>
    <row r="11" spans="1:4" x14ac:dyDescent="0.2">
      <c r="A11" t="s">
        <v>56</v>
      </c>
      <c r="B11" t="s">
        <v>55</v>
      </c>
      <c r="C11" s="4">
        <v>1010</v>
      </c>
      <c r="D11" s="16">
        <v>14022.000000000002</v>
      </c>
    </row>
    <row r="12" spans="1:4" x14ac:dyDescent="0.2">
      <c r="A12" t="s">
        <v>115</v>
      </c>
      <c r="B12" t="s">
        <v>97</v>
      </c>
      <c r="C12" s="4">
        <v>908</v>
      </c>
      <c r="D12" s="16">
        <v>13992.742400000001</v>
      </c>
    </row>
    <row r="13" spans="1:4" x14ac:dyDescent="0.2">
      <c r="A13" t="s">
        <v>9</v>
      </c>
      <c r="B13" t="s">
        <v>8</v>
      </c>
      <c r="C13" s="4">
        <v>1000</v>
      </c>
      <c r="D13" s="16">
        <v>13980.581999999999</v>
      </c>
    </row>
    <row r="14" spans="1:4" x14ac:dyDescent="0.2">
      <c r="A14" t="s">
        <v>24</v>
      </c>
      <c r="B14" t="s">
        <v>23</v>
      </c>
      <c r="C14" s="4">
        <v>1010</v>
      </c>
      <c r="D14" s="16">
        <v>13875.646400000001</v>
      </c>
    </row>
    <row r="15" spans="1:4" x14ac:dyDescent="0.2">
      <c r="A15" t="s">
        <v>15</v>
      </c>
      <c r="B15" t="s">
        <v>14</v>
      </c>
      <c r="C15" s="4">
        <v>900</v>
      </c>
      <c r="D15" s="16">
        <v>12966.743999999999</v>
      </c>
    </row>
    <row r="16" spans="1:4" x14ac:dyDescent="0.2">
      <c r="A16" t="s">
        <v>109</v>
      </c>
      <c r="B16" t="s">
        <v>108</v>
      </c>
      <c r="C16" s="4">
        <v>999</v>
      </c>
      <c r="D16" s="16">
        <v>10687.089599999999</v>
      </c>
    </row>
    <row r="17" spans="1:4" x14ac:dyDescent="0.2">
      <c r="A17" t="s">
        <v>90</v>
      </c>
      <c r="B17" t="s">
        <v>89</v>
      </c>
      <c r="C17" s="4">
        <v>999</v>
      </c>
      <c r="D17" s="16">
        <v>10675.696</v>
      </c>
    </row>
    <row r="18" spans="1:4" x14ac:dyDescent="0.2">
      <c r="A18" t="s">
        <v>98</v>
      </c>
      <c r="B18" t="s">
        <v>97</v>
      </c>
      <c r="C18" s="4">
        <v>962</v>
      </c>
      <c r="D18" s="16">
        <v>10544.7132</v>
      </c>
    </row>
    <row r="19" spans="1:4" x14ac:dyDescent="0.2">
      <c r="A19" t="s">
        <v>45</v>
      </c>
      <c r="B19" t="s">
        <v>44</v>
      </c>
      <c r="C19" s="4">
        <v>1000</v>
      </c>
      <c r="D19" s="16">
        <v>10407.090400000001</v>
      </c>
    </row>
    <row r="20" spans="1:4" x14ac:dyDescent="0.2">
      <c r="A20" t="s">
        <v>32</v>
      </c>
      <c r="B20" t="s">
        <v>31</v>
      </c>
      <c r="C20" s="4">
        <v>980</v>
      </c>
      <c r="D20" s="16">
        <v>10083.255000000001</v>
      </c>
    </row>
    <row r="21" spans="1:4" x14ac:dyDescent="0.2">
      <c r="A21" t="s">
        <v>128</v>
      </c>
      <c r="B21" t="s">
        <v>89</v>
      </c>
      <c r="C21" s="4">
        <v>971</v>
      </c>
      <c r="D21" s="16">
        <v>10062.3012</v>
      </c>
    </row>
    <row r="22" spans="1:4" x14ac:dyDescent="0.2">
      <c r="A22" t="s">
        <v>41</v>
      </c>
      <c r="B22" t="s">
        <v>40</v>
      </c>
      <c r="C22" s="4">
        <v>1010</v>
      </c>
      <c r="D22" s="16">
        <v>9609.9519999999993</v>
      </c>
    </row>
    <row r="23" spans="1:4" x14ac:dyDescent="0.2">
      <c r="A23" t="s">
        <v>35</v>
      </c>
      <c r="B23" t="s">
        <v>34</v>
      </c>
      <c r="C23" s="4">
        <v>1000</v>
      </c>
      <c r="D23" s="16">
        <v>9464.5231999999996</v>
      </c>
    </row>
    <row r="24" spans="1:4" x14ac:dyDescent="0.2">
      <c r="A24" t="s">
        <v>52</v>
      </c>
      <c r="B24" t="s">
        <v>51</v>
      </c>
      <c r="C24" s="4">
        <v>980</v>
      </c>
      <c r="D24" s="16">
        <v>9451.5330000000013</v>
      </c>
    </row>
    <row r="25" spans="1:4" x14ac:dyDescent="0.2">
      <c r="A25" t="s">
        <v>125</v>
      </c>
      <c r="B25" t="s">
        <v>124</v>
      </c>
      <c r="C25" s="4">
        <v>952</v>
      </c>
      <c r="D25" s="16">
        <v>9421.3503999999994</v>
      </c>
    </row>
    <row r="26" spans="1:4" x14ac:dyDescent="0.2">
      <c r="A26" t="s">
        <v>105</v>
      </c>
      <c r="B26" t="s">
        <v>104</v>
      </c>
      <c r="C26" s="4">
        <v>932</v>
      </c>
      <c r="D26" s="16">
        <v>9251.4</v>
      </c>
    </row>
    <row r="27" spans="1:4" x14ac:dyDescent="0.2">
      <c r="A27" t="s">
        <v>135</v>
      </c>
      <c r="B27" t="s">
        <v>84</v>
      </c>
      <c r="C27" s="4">
        <v>864</v>
      </c>
      <c r="D27" s="16">
        <v>9229.5887999999995</v>
      </c>
    </row>
    <row r="28" spans="1:4" x14ac:dyDescent="0.2">
      <c r="A28" t="s">
        <v>132</v>
      </c>
      <c r="B28" t="s">
        <v>131</v>
      </c>
      <c r="C28" s="4">
        <v>980</v>
      </c>
      <c r="D28" s="16">
        <v>9132.2741999999998</v>
      </c>
    </row>
    <row r="29" spans="1:4" x14ac:dyDescent="0.2">
      <c r="A29" t="s">
        <v>59</v>
      </c>
      <c r="B29" t="s">
        <v>58</v>
      </c>
      <c r="C29" s="4">
        <v>1000</v>
      </c>
      <c r="D29" s="16">
        <v>9118.6787999999997</v>
      </c>
    </row>
    <row r="30" spans="1:4" x14ac:dyDescent="0.2">
      <c r="A30" t="s">
        <v>101</v>
      </c>
      <c r="B30" t="s">
        <v>84</v>
      </c>
      <c r="C30" s="4">
        <v>857</v>
      </c>
      <c r="D30" s="16">
        <v>8938.5120000000006</v>
      </c>
    </row>
    <row r="31" spans="1:4" x14ac:dyDescent="0.2">
      <c r="A31" t="s">
        <v>62</v>
      </c>
      <c r="B31" t="s">
        <v>61</v>
      </c>
      <c r="C31" s="4">
        <v>876</v>
      </c>
      <c r="D31" s="16">
        <v>8785.2784000000011</v>
      </c>
    </row>
    <row r="32" spans="1:4" x14ac:dyDescent="0.2">
      <c r="A32" t="s">
        <v>20</v>
      </c>
      <c r="B32" t="s">
        <v>19</v>
      </c>
      <c r="C32" s="4">
        <v>987</v>
      </c>
      <c r="D32" s="16">
        <v>8682.8896000000004</v>
      </c>
    </row>
    <row r="33" spans="1:4" x14ac:dyDescent="0.2">
      <c r="A33" t="s">
        <v>77</v>
      </c>
      <c r="B33" t="s">
        <v>76</v>
      </c>
      <c r="C33" s="4">
        <v>807</v>
      </c>
      <c r="D33" s="16">
        <v>8497.0751999999993</v>
      </c>
    </row>
    <row r="34" spans="1:4" x14ac:dyDescent="0.2">
      <c r="A34" t="s">
        <v>94</v>
      </c>
      <c r="B34" t="s">
        <v>93</v>
      </c>
      <c r="C34" s="4">
        <v>984</v>
      </c>
      <c r="D34" s="16">
        <v>8391.7415999999994</v>
      </c>
    </row>
    <row r="35" spans="1:4" x14ac:dyDescent="0.2">
      <c r="A35" t="s">
        <v>37</v>
      </c>
      <c r="B35" t="s">
        <v>19</v>
      </c>
      <c r="C35" s="4">
        <v>900</v>
      </c>
      <c r="D35" s="16">
        <v>8238.2849999999999</v>
      </c>
    </row>
    <row r="36" spans="1:4" x14ac:dyDescent="0.2">
      <c r="A36" t="s">
        <v>122</v>
      </c>
      <c r="B36" t="s">
        <v>84</v>
      </c>
      <c r="C36" s="4">
        <v>835</v>
      </c>
      <c r="D36" s="16">
        <v>8029.8847999999989</v>
      </c>
    </row>
    <row r="37" spans="1:4" x14ac:dyDescent="0.2">
      <c r="A37" t="s">
        <v>112</v>
      </c>
      <c r="B37" t="s">
        <v>104</v>
      </c>
      <c r="C37" s="4">
        <v>977</v>
      </c>
      <c r="D37" s="16">
        <v>7878.3865000000005</v>
      </c>
    </row>
    <row r="38" spans="1:4" x14ac:dyDescent="0.2">
      <c r="A38" t="s">
        <v>81</v>
      </c>
      <c r="B38" t="s">
        <v>72</v>
      </c>
      <c r="C38" s="4">
        <v>821</v>
      </c>
      <c r="D38" s="16">
        <v>7834.0415999999996</v>
      </c>
    </row>
    <row r="39" spans="1:4" x14ac:dyDescent="0.2">
      <c r="A39" t="s">
        <v>67</v>
      </c>
      <c r="B39" t="s">
        <v>66</v>
      </c>
      <c r="C39" s="4">
        <v>813</v>
      </c>
      <c r="D39" s="16">
        <v>7530.7891999999993</v>
      </c>
    </row>
    <row r="40" spans="1:4" x14ac:dyDescent="0.2">
      <c r="A40" t="s">
        <v>85</v>
      </c>
      <c r="B40" t="s">
        <v>84</v>
      </c>
      <c r="C40" s="4">
        <v>817</v>
      </c>
      <c r="D40" s="16">
        <v>6655.7865999999995</v>
      </c>
    </row>
    <row r="41" spans="1:4" x14ac:dyDescent="0.2">
      <c r="A41" t="s">
        <v>143</v>
      </c>
      <c r="D41" s="16">
        <v>356035.01949999994</v>
      </c>
    </row>
  </sheetData>
  <autoFilter ref="A6:D41" xr:uid="{90D3FFAB-D115-4F5C-A978-B4A342F8A581}"/>
  <conditionalFormatting pivot="1" sqref="D7:D40">
    <cfRule type="iconSet" priority="1">
      <iconSet iconSet="3Symbols2">
        <cfvo type="percent" val="0"/>
        <cfvo type="num" val="6000"/>
        <cfvo type="num" val="9000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2EDA-0CE0-4669-9873-A9C8B934259F}">
  <dimension ref="A1:E3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23" sqref="H23"/>
    </sheetView>
  </sheetViews>
  <sheetFormatPr baseColWidth="10" defaultRowHeight="15" x14ac:dyDescent="0.2"/>
  <cols>
    <col min="1" max="1" width="23.83203125" customWidth="1"/>
    <col min="2" max="2" width="13.83203125" bestFit="1" customWidth="1"/>
    <col min="3" max="3" width="16.33203125" bestFit="1" customWidth="1"/>
    <col min="4" max="4" width="16.83203125" bestFit="1" customWidth="1"/>
    <col min="5" max="5" width="25.83203125" bestFit="1" customWidth="1"/>
  </cols>
  <sheetData>
    <row r="1" spans="1:5" ht="30" customHeight="1" x14ac:dyDescent="0.2"/>
    <row r="2" spans="1:5" ht="26.25" customHeight="1" x14ac:dyDescent="0.2"/>
    <row r="3" spans="1:5" x14ac:dyDescent="0.2">
      <c r="D3" s="15" t="s">
        <v>149</v>
      </c>
    </row>
    <row r="4" spans="1:5" x14ac:dyDescent="0.2">
      <c r="A4" s="15" t="s">
        <v>2</v>
      </c>
      <c r="B4" s="15" t="s">
        <v>1</v>
      </c>
      <c r="C4" s="15" t="s">
        <v>7</v>
      </c>
      <c r="D4" t="s">
        <v>147</v>
      </c>
      <c r="E4" t="s">
        <v>148</v>
      </c>
    </row>
    <row r="5" spans="1:5" x14ac:dyDescent="0.2">
      <c r="A5" t="s">
        <v>48</v>
      </c>
      <c r="B5" t="s">
        <v>47</v>
      </c>
      <c r="C5" t="s">
        <v>21</v>
      </c>
      <c r="D5" s="16">
        <v>21252</v>
      </c>
      <c r="E5" s="4">
        <v>945</v>
      </c>
    </row>
    <row r="6" spans="1:5" x14ac:dyDescent="0.2">
      <c r="A6" t="s">
        <v>94</v>
      </c>
      <c r="B6" t="s">
        <v>93</v>
      </c>
      <c r="C6" t="s">
        <v>64</v>
      </c>
      <c r="D6" s="16">
        <v>10499.28</v>
      </c>
      <c r="E6" s="4">
        <v>904</v>
      </c>
    </row>
    <row r="7" spans="1:5" x14ac:dyDescent="0.2">
      <c r="A7" t="s">
        <v>37</v>
      </c>
      <c r="B7" t="s">
        <v>19</v>
      </c>
      <c r="C7" t="s">
        <v>21</v>
      </c>
      <c r="D7" s="16">
        <v>9801</v>
      </c>
      <c r="E7" s="4">
        <v>850</v>
      </c>
    </row>
    <row r="8" spans="1:5" x14ac:dyDescent="0.2">
      <c r="A8" t="s">
        <v>20</v>
      </c>
      <c r="B8" t="s">
        <v>19</v>
      </c>
      <c r="C8" t="s">
        <v>21</v>
      </c>
      <c r="D8" s="16">
        <v>10620.119999999999</v>
      </c>
      <c r="E8" s="4">
        <v>917</v>
      </c>
    </row>
    <row r="9" spans="1:5" x14ac:dyDescent="0.2">
      <c r="A9" t="s">
        <v>24</v>
      </c>
      <c r="B9" t="s">
        <v>23</v>
      </c>
      <c r="C9" t="s">
        <v>12</v>
      </c>
      <c r="D9" s="16">
        <v>18947.600000000002</v>
      </c>
      <c r="E9" s="4">
        <v>902</v>
      </c>
    </row>
    <row r="10" spans="1:5" x14ac:dyDescent="0.2">
      <c r="A10" t="s">
        <v>56</v>
      </c>
      <c r="B10" t="s">
        <v>55</v>
      </c>
      <c r="C10" t="s">
        <v>21</v>
      </c>
      <c r="D10" s="16">
        <v>18180</v>
      </c>
      <c r="E10" s="4">
        <v>950</v>
      </c>
    </row>
    <row r="11" spans="1:5" x14ac:dyDescent="0.2">
      <c r="A11" t="s">
        <v>32</v>
      </c>
      <c r="B11" t="s">
        <v>31</v>
      </c>
      <c r="C11" t="s">
        <v>17</v>
      </c>
      <c r="D11" s="16">
        <v>12201</v>
      </c>
      <c r="E11" s="4">
        <v>910</v>
      </c>
    </row>
    <row r="12" spans="1:5" x14ac:dyDescent="0.2">
      <c r="A12" t="s">
        <v>112</v>
      </c>
      <c r="B12" t="s">
        <v>104</v>
      </c>
      <c r="C12" t="s">
        <v>64</v>
      </c>
      <c r="D12" s="16">
        <v>10072.870000000001</v>
      </c>
      <c r="E12" s="4">
        <v>899</v>
      </c>
    </row>
    <row r="13" spans="1:5" x14ac:dyDescent="0.2">
      <c r="A13" t="s">
        <v>59</v>
      </c>
      <c r="B13" t="s">
        <v>58</v>
      </c>
      <c r="C13" t="s">
        <v>12</v>
      </c>
      <c r="D13" s="16">
        <v>11890</v>
      </c>
      <c r="E13" s="4">
        <v>913</v>
      </c>
    </row>
    <row r="14" spans="1:5" x14ac:dyDescent="0.2">
      <c r="A14" t="s">
        <v>15</v>
      </c>
      <c r="B14" t="s">
        <v>14</v>
      </c>
      <c r="C14" t="s">
        <v>17</v>
      </c>
      <c r="D14" s="16">
        <v>17586</v>
      </c>
      <c r="E14" s="4">
        <v>790</v>
      </c>
    </row>
    <row r="15" spans="1:5" x14ac:dyDescent="0.2">
      <c r="A15" t="s">
        <v>119</v>
      </c>
      <c r="B15" t="s">
        <v>118</v>
      </c>
      <c r="C15" t="s">
        <v>70</v>
      </c>
      <c r="D15" s="16">
        <v>18835.04</v>
      </c>
      <c r="E15" s="4">
        <v>940</v>
      </c>
    </row>
    <row r="16" spans="1:5" x14ac:dyDescent="0.2">
      <c r="A16" t="s">
        <v>62</v>
      </c>
      <c r="B16" t="s">
        <v>61</v>
      </c>
      <c r="C16" t="s">
        <v>64</v>
      </c>
      <c r="D16" s="16">
        <v>10441.92</v>
      </c>
      <c r="E16" s="4">
        <v>857</v>
      </c>
    </row>
    <row r="17" spans="1:5" x14ac:dyDescent="0.2">
      <c r="A17" t="s">
        <v>115</v>
      </c>
      <c r="B17" t="s">
        <v>97</v>
      </c>
      <c r="C17" t="s">
        <v>70</v>
      </c>
      <c r="D17" s="16">
        <v>18623.080000000002</v>
      </c>
      <c r="E17" s="4">
        <v>832</v>
      </c>
    </row>
    <row r="18" spans="1:5" x14ac:dyDescent="0.2">
      <c r="A18" t="s">
        <v>125</v>
      </c>
      <c r="B18" t="s">
        <v>124</v>
      </c>
      <c r="C18" t="s">
        <v>70</v>
      </c>
      <c r="D18" s="16">
        <v>11728.64</v>
      </c>
      <c r="E18" s="4">
        <v>869</v>
      </c>
    </row>
    <row r="19" spans="1:5" x14ac:dyDescent="0.2">
      <c r="A19" t="s">
        <v>128</v>
      </c>
      <c r="B19" t="s">
        <v>89</v>
      </c>
      <c r="C19" t="s">
        <v>12</v>
      </c>
      <c r="D19" s="16">
        <v>12360.83</v>
      </c>
      <c r="E19" s="4">
        <v>941</v>
      </c>
    </row>
    <row r="20" spans="1:5" x14ac:dyDescent="0.2">
      <c r="A20" t="s">
        <v>135</v>
      </c>
      <c r="B20" t="s">
        <v>84</v>
      </c>
      <c r="C20" t="s">
        <v>17</v>
      </c>
      <c r="D20" s="16">
        <v>11949.12</v>
      </c>
      <c r="E20" s="4">
        <v>776</v>
      </c>
    </row>
    <row r="21" spans="1:5" x14ac:dyDescent="0.2">
      <c r="A21" t="s">
        <v>73</v>
      </c>
      <c r="B21" t="s">
        <v>72</v>
      </c>
      <c r="C21" t="s">
        <v>21</v>
      </c>
      <c r="D21" s="16">
        <v>19055.560000000001</v>
      </c>
      <c r="E21" s="4">
        <v>987</v>
      </c>
    </row>
    <row r="22" spans="1:5" x14ac:dyDescent="0.2">
      <c r="A22" t="s">
        <v>90</v>
      </c>
      <c r="B22" t="s">
        <v>89</v>
      </c>
      <c r="C22" t="s">
        <v>17</v>
      </c>
      <c r="D22" s="16">
        <v>13136.85</v>
      </c>
      <c r="E22" s="4">
        <v>944</v>
      </c>
    </row>
    <row r="23" spans="1:5" x14ac:dyDescent="0.2">
      <c r="A23" t="s">
        <v>81</v>
      </c>
      <c r="B23" t="s">
        <v>72</v>
      </c>
      <c r="C23" t="s">
        <v>12</v>
      </c>
      <c r="D23" s="16">
        <v>10114.719999999999</v>
      </c>
      <c r="E23" s="4">
        <v>757</v>
      </c>
    </row>
    <row r="24" spans="1:5" x14ac:dyDescent="0.2">
      <c r="A24" t="s">
        <v>98</v>
      </c>
      <c r="B24" t="s">
        <v>97</v>
      </c>
      <c r="C24" t="s">
        <v>21</v>
      </c>
      <c r="D24" s="16">
        <v>12659.92</v>
      </c>
      <c r="E24" s="4">
        <v>921</v>
      </c>
    </row>
    <row r="25" spans="1:5" x14ac:dyDescent="0.2">
      <c r="A25" t="s">
        <v>45</v>
      </c>
      <c r="B25" t="s">
        <v>44</v>
      </c>
      <c r="C25" t="s">
        <v>12</v>
      </c>
      <c r="D25" s="16">
        <v>12560</v>
      </c>
      <c r="E25" s="4">
        <v>931</v>
      </c>
    </row>
    <row r="26" spans="1:5" x14ac:dyDescent="0.2">
      <c r="A26" t="s">
        <v>122</v>
      </c>
      <c r="B26" t="s">
        <v>84</v>
      </c>
      <c r="C26" t="s">
        <v>12</v>
      </c>
      <c r="D26" s="16">
        <v>10303.9</v>
      </c>
      <c r="E26" s="4">
        <v>784</v>
      </c>
    </row>
    <row r="27" spans="1:5" x14ac:dyDescent="0.2">
      <c r="A27" t="s">
        <v>109</v>
      </c>
      <c r="B27" t="s">
        <v>108</v>
      </c>
      <c r="C27" t="s">
        <v>21</v>
      </c>
      <c r="D27" s="16">
        <v>12717.27</v>
      </c>
      <c r="E27" s="4">
        <v>954</v>
      </c>
    </row>
    <row r="28" spans="1:5" x14ac:dyDescent="0.2">
      <c r="A28" t="s">
        <v>67</v>
      </c>
      <c r="B28" t="s">
        <v>66</v>
      </c>
      <c r="C28" t="s">
        <v>70</v>
      </c>
      <c r="D28" s="16">
        <v>9861.69</v>
      </c>
      <c r="E28" s="4">
        <v>748</v>
      </c>
    </row>
    <row r="29" spans="1:5" x14ac:dyDescent="0.2">
      <c r="A29" t="s">
        <v>132</v>
      </c>
      <c r="B29" t="s">
        <v>131</v>
      </c>
      <c r="C29" t="s">
        <v>70</v>
      </c>
      <c r="D29" s="16">
        <v>11162.2</v>
      </c>
      <c r="E29" s="4">
        <v>966</v>
      </c>
    </row>
    <row r="30" spans="1:5" x14ac:dyDescent="0.2">
      <c r="A30" t="s">
        <v>85</v>
      </c>
      <c r="B30" t="s">
        <v>84</v>
      </c>
      <c r="C30" t="s">
        <v>17</v>
      </c>
      <c r="D30" s="16">
        <v>8937.98</v>
      </c>
      <c r="E30" s="4">
        <v>733</v>
      </c>
    </row>
    <row r="31" spans="1:5" x14ac:dyDescent="0.2">
      <c r="A31" t="s">
        <v>52</v>
      </c>
      <c r="B31" t="s">
        <v>51</v>
      </c>
      <c r="C31" t="s">
        <v>17</v>
      </c>
      <c r="D31" s="16">
        <v>11436.6</v>
      </c>
      <c r="E31" s="4">
        <v>910</v>
      </c>
    </row>
    <row r="32" spans="1:5" x14ac:dyDescent="0.2">
      <c r="A32" t="s">
        <v>27</v>
      </c>
      <c r="B32" t="s">
        <v>26</v>
      </c>
      <c r="C32" t="s">
        <v>21</v>
      </c>
      <c r="D32" s="16">
        <v>21780</v>
      </c>
      <c r="E32" s="4">
        <v>880</v>
      </c>
    </row>
    <row r="33" spans="1:5" x14ac:dyDescent="0.2">
      <c r="A33" t="s">
        <v>41</v>
      </c>
      <c r="B33" t="s">
        <v>40</v>
      </c>
      <c r="C33" t="s">
        <v>21</v>
      </c>
      <c r="D33" s="16">
        <v>11988.699999999999</v>
      </c>
      <c r="E33" s="4">
        <v>920</v>
      </c>
    </row>
    <row r="34" spans="1:5" x14ac:dyDescent="0.2">
      <c r="A34" t="s">
        <v>101</v>
      </c>
      <c r="B34" t="s">
        <v>84</v>
      </c>
      <c r="C34" t="s">
        <v>21</v>
      </c>
      <c r="D34" s="16">
        <v>10412.550000000001</v>
      </c>
      <c r="E34" s="4">
        <v>836</v>
      </c>
    </row>
    <row r="35" spans="1:5" x14ac:dyDescent="0.2">
      <c r="A35" t="s">
        <v>105</v>
      </c>
      <c r="B35" t="s">
        <v>104</v>
      </c>
      <c r="C35" t="s">
        <v>12</v>
      </c>
      <c r="D35" s="16">
        <v>11184</v>
      </c>
      <c r="E35" s="4">
        <v>907</v>
      </c>
    </row>
    <row r="36" spans="1:5" x14ac:dyDescent="0.2">
      <c r="A36" t="s">
        <v>77</v>
      </c>
      <c r="B36" t="s">
        <v>76</v>
      </c>
      <c r="C36" t="s">
        <v>21</v>
      </c>
      <c r="D36" s="16">
        <v>10757.31</v>
      </c>
      <c r="E36" s="4">
        <v>768</v>
      </c>
    </row>
    <row r="37" spans="1:5" x14ac:dyDescent="0.2">
      <c r="A37" t="s">
        <v>9</v>
      </c>
      <c r="B37" t="s">
        <v>8</v>
      </c>
      <c r="C37" t="s">
        <v>12</v>
      </c>
      <c r="D37" s="16">
        <v>18340</v>
      </c>
      <c r="E37" s="4">
        <v>990</v>
      </c>
    </row>
    <row r="38" spans="1:5" x14ac:dyDescent="0.2">
      <c r="A38" t="s">
        <v>35</v>
      </c>
      <c r="B38" t="s">
        <v>34</v>
      </c>
      <c r="C38" t="s">
        <v>12</v>
      </c>
      <c r="D38" s="16">
        <v>11780</v>
      </c>
      <c r="E38" s="4">
        <v>913</v>
      </c>
    </row>
    <row r="39" spans="1:5" x14ac:dyDescent="0.2">
      <c r="A39" t="s">
        <v>143</v>
      </c>
      <c r="D39" s="16">
        <v>453177.75</v>
      </c>
      <c r="E39" s="4">
        <v>30044</v>
      </c>
    </row>
  </sheetData>
  <autoFilter ref="A3:E72" xr:uid="{3C522EDA-0CE0-4669-9873-A9C8B934259F}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B65A-2E33-42D7-B134-2C3DA0F86556}">
  <dimension ref="A1:E3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30" sqref="F30"/>
    </sheetView>
  </sheetViews>
  <sheetFormatPr baseColWidth="10" defaultRowHeight="15" x14ac:dyDescent="0.2"/>
  <cols>
    <col min="1" max="1" width="19.33203125" customWidth="1"/>
    <col min="2" max="2" width="16.33203125" customWidth="1"/>
    <col min="3" max="3" width="16.33203125" bestFit="1" customWidth="1"/>
    <col min="4" max="4" width="19.33203125" bestFit="1" customWidth="1"/>
    <col min="5" max="5" width="28.33203125" bestFit="1" customWidth="1"/>
    <col min="6" max="6" width="29.83203125" bestFit="1" customWidth="1"/>
  </cols>
  <sheetData>
    <row r="1" spans="1:5" ht="27.75" customHeight="1" x14ac:dyDescent="0.2"/>
    <row r="2" spans="1:5" ht="26.25" customHeight="1" x14ac:dyDescent="0.2"/>
    <row r="3" spans="1:5" x14ac:dyDescent="0.2">
      <c r="D3" s="15" t="s">
        <v>149</v>
      </c>
    </row>
    <row r="4" spans="1:5" x14ac:dyDescent="0.2">
      <c r="A4" s="15" t="s">
        <v>2</v>
      </c>
      <c r="B4" s="15" t="s">
        <v>1</v>
      </c>
      <c r="C4" s="15" t="s">
        <v>7</v>
      </c>
      <c r="D4" t="s">
        <v>147</v>
      </c>
      <c r="E4" t="s">
        <v>148</v>
      </c>
    </row>
    <row r="5" spans="1:5" x14ac:dyDescent="0.2">
      <c r="A5" t="s">
        <v>48</v>
      </c>
      <c r="B5" t="s">
        <v>47</v>
      </c>
      <c r="C5" t="s">
        <v>21</v>
      </c>
      <c r="D5" s="16">
        <v>21252</v>
      </c>
      <c r="E5" s="4">
        <v>945</v>
      </c>
    </row>
    <row r="6" spans="1:5" x14ac:dyDescent="0.2">
      <c r="A6" t="s">
        <v>94</v>
      </c>
      <c r="B6" t="s">
        <v>93</v>
      </c>
      <c r="C6" t="s">
        <v>64</v>
      </c>
      <c r="D6" s="16">
        <v>10499.28</v>
      </c>
      <c r="E6" s="4">
        <v>904</v>
      </c>
    </row>
    <row r="7" spans="1:5" x14ac:dyDescent="0.2">
      <c r="A7" t="s">
        <v>37</v>
      </c>
      <c r="B7" t="s">
        <v>19</v>
      </c>
      <c r="C7" t="s">
        <v>21</v>
      </c>
      <c r="D7" s="16">
        <v>9801</v>
      </c>
      <c r="E7" s="4">
        <v>850</v>
      </c>
    </row>
    <row r="8" spans="1:5" x14ac:dyDescent="0.2">
      <c r="A8" t="s">
        <v>20</v>
      </c>
      <c r="B8" t="s">
        <v>19</v>
      </c>
      <c r="C8" t="s">
        <v>21</v>
      </c>
      <c r="D8" s="16">
        <v>10620.119999999999</v>
      </c>
      <c r="E8" s="4">
        <v>917</v>
      </c>
    </row>
    <row r="9" spans="1:5" x14ac:dyDescent="0.2">
      <c r="A9" t="s">
        <v>24</v>
      </c>
      <c r="B9" t="s">
        <v>23</v>
      </c>
      <c r="C9" t="s">
        <v>12</v>
      </c>
      <c r="D9" s="16">
        <v>18947.600000000002</v>
      </c>
      <c r="E9" s="4">
        <v>902</v>
      </c>
    </row>
    <row r="10" spans="1:5" x14ac:dyDescent="0.2">
      <c r="A10" t="s">
        <v>56</v>
      </c>
      <c r="B10" t="s">
        <v>55</v>
      </c>
      <c r="C10" t="s">
        <v>21</v>
      </c>
      <c r="D10" s="16">
        <v>18180</v>
      </c>
      <c r="E10" s="4">
        <v>950</v>
      </c>
    </row>
    <row r="11" spans="1:5" x14ac:dyDescent="0.2">
      <c r="A11" t="s">
        <v>32</v>
      </c>
      <c r="B11" t="s">
        <v>31</v>
      </c>
      <c r="C11" t="s">
        <v>17</v>
      </c>
      <c r="D11" s="16">
        <v>12201</v>
      </c>
      <c r="E11" s="4">
        <v>910</v>
      </c>
    </row>
    <row r="12" spans="1:5" x14ac:dyDescent="0.2">
      <c r="A12" t="s">
        <v>112</v>
      </c>
      <c r="B12" t="s">
        <v>104</v>
      </c>
      <c r="C12" t="s">
        <v>64</v>
      </c>
      <c r="D12" s="16">
        <v>10072.870000000001</v>
      </c>
      <c r="E12" s="4">
        <v>899</v>
      </c>
    </row>
    <row r="13" spans="1:5" x14ac:dyDescent="0.2">
      <c r="A13" t="s">
        <v>59</v>
      </c>
      <c r="B13" t="s">
        <v>58</v>
      </c>
      <c r="C13" t="s">
        <v>12</v>
      </c>
      <c r="D13" s="16">
        <v>11890</v>
      </c>
      <c r="E13" s="4">
        <v>913</v>
      </c>
    </row>
    <row r="14" spans="1:5" x14ac:dyDescent="0.2">
      <c r="A14" t="s">
        <v>15</v>
      </c>
      <c r="B14" t="s">
        <v>14</v>
      </c>
      <c r="C14" t="s">
        <v>17</v>
      </c>
      <c r="D14" s="16">
        <v>17586</v>
      </c>
      <c r="E14" s="4">
        <v>790</v>
      </c>
    </row>
    <row r="15" spans="1:5" x14ac:dyDescent="0.2">
      <c r="A15" t="s">
        <v>119</v>
      </c>
      <c r="B15" t="s">
        <v>118</v>
      </c>
      <c r="C15" t="s">
        <v>70</v>
      </c>
      <c r="D15" s="16">
        <v>18835.04</v>
      </c>
      <c r="E15" s="4">
        <v>940</v>
      </c>
    </row>
    <row r="16" spans="1:5" x14ac:dyDescent="0.2">
      <c r="A16" t="s">
        <v>62</v>
      </c>
      <c r="B16" t="s">
        <v>61</v>
      </c>
      <c r="C16" t="s">
        <v>64</v>
      </c>
      <c r="D16" s="16">
        <v>10441.92</v>
      </c>
      <c r="E16" s="4">
        <v>857</v>
      </c>
    </row>
    <row r="17" spans="1:5" x14ac:dyDescent="0.2">
      <c r="A17" t="s">
        <v>115</v>
      </c>
      <c r="B17" t="s">
        <v>97</v>
      </c>
      <c r="C17" t="s">
        <v>70</v>
      </c>
      <c r="D17" s="16">
        <v>18623.080000000002</v>
      </c>
      <c r="E17" s="4">
        <v>832</v>
      </c>
    </row>
    <row r="18" spans="1:5" x14ac:dyDescent="0.2">
      <c r="A18" t="s">
        <v>125</v>
      </c>
      <c r="B18" t="s">
        <v>124</v>
      </c>
      <c r="C18" t="s">
        <v>70</v>
      </c>
      <c r="D18" s="16">
        <v>11728.64</v>
      </c>
      <c r="E18" s="4">
        <v>869</v>
      </c>
    </row>
    <row r="19" spans="1:5" x14ac:dyDescent="0.2">
      <c r="A19" t="s">
        <v>128</v>
      </c>
      <c r="B19" t="s">
        <v>89</v>
      </c>
      <c r="C19" t="s">
        <v>12</v>
      </c>
      <c r="D19" s="16">
        <v>12360.83</v>
      </c>
      <c r="E19" s="4">
        <v>941</v>
      </c>
    </row>
    <row r="20" spans="1:5" x14ac:dyDescent="0.2">
      <c r="A20" t="s">
        <v>135</v>
      </c>
      <c r="B20" t="s">
        <v>84</v>
      </c>
      <c r="C20" t="s">
        <v>17</v>
      </c>
      <c r="D20" s="16">
        <v>11949.12</v>
      </c>
      <c r="E20" s="4">
        <v>776</v>
      </c>
    </row>
    <row r="21" spans="1:5" x14ac:dyDescent="0.2">
      <c r="A21" t="s">
        <v>73</v>
      </c>
      <c r="B21" t="s">
        <v>72</v>
      </c>
      <c r="C21" t="s">
        <v>21</v>
      </c>
      <c r="D21" s="16">
        <v>19055.560000000001</v>
      </c>
      <c r="E21" s="4">
        <v>987</v>
      </c>
    </row>
    <row r="22" spans="1:5" x14ac:dyDescent="0.2">
      <c r="A22" t="s">
        <v>90</v>
      </c>
      <c r="B22" t="s">
        <v>89</v>
      </c>
      <c r="C22" t="s">
        <v>17</v>
      </c>
      <c r="D22" s="16">
        <v>13136.85</v>
      </c>
      <c r="E22" s="4">
        <v>944</v>
      </c>
    </row>
    <row r="23" spans="1:5" x14ac:dyDescent="0.2">
      <c r="A23" t="s">
        <v>81</v>
      </c>
      <c r="B23" t="s">
        <v>72</v>
      </c>
      <c r="C23" t="s">
        <v>12</v>
      </c>
      <c r="D23" s="16">
        <v>10114.719999999999</v>
      </c>
      <c r="E23" s="4">
        <v>757</v>
      </c>
    </row>
    <row r="24" spans="1:5" x14ac:dyDescent="0.2">
      <c r="A24" t="s">
        <v>98</v>
      </c>
      <c r="B24" t="s">
        <v>97</v>
      </c>
      <c r="C24" t="s">
        <v>21</v>
      </c>
      <c r="D24" s="16">
        <v>12659.92</v>
      </c>
      <c r="E24" s="4">
        <v>921</v>
      </c>
    </row>
    <row r="25" spans="1:5" x14ac:dyDescent="0.2">
      <c r="A25" t="s">
        <v>45</v>
      </c>
      <c r="B25" t="s">
        <v>44</v>
      </c>
      <c r="C25" t="s">
        <v>12</v>
      </c>
      <c r="D25" s="16">
        <v>12560</v>
      </c>
      <c r="E25" s="4">
        <v>931</v>
      </c>
    </row>
    <row r="26" spans="1:5" x14ac:dyDescent="0.2">
      <c r="A26" t="s">
        <v>122</v>
      </c>
      <c r="B26" t="s">
        <v>84</v>
      </c>
      <c r="C26" t="s">
        <v>12</v>
      </c>
      <c r="D26" s="16">
        <v>10303.9</v>
      </c>
      <c r="E26" s="4">
        <v>784</v>
      </c>
    </row>
    <row r="27" spans="1:5" x14ac:dyDescent="0.2">
      <c r="A27" t="s">
        <v>109</v>
      </c>
      <c r="B27" t="s">
        <v>108</v>
      </c>
      <c r="C27" t="s">
        <v>21</v>
      </c>
      <c r="D27" s="16">
        <v>12717.27</v>
      </c>
      <c r="E27" s="4">
        <v>954</v>
      </c>
    </row>
    <row r="28" spans="1:5" x14ac:dyDescent="0.2">
      <c r="A28" t="s">
        <v>67</v>
      </c>
      <c r="B28" t="s">
        <v>66</v>
      </c>
      <c r="C28" t="s">
        <v>70</v>
      </c>
      <c r="D28" s="16">
        <v>9861.69</v>
      </c>
      <c r="E28" s="4">
        <v>748</v>
      </c>
    </row>
    <row r="29" spans="1:5" x14ac:dyDescent="0.2">
      <c r="A29" t="s">
        <v>132</v>
      </c>
      <c r="B29" t="s">
        <v>131</v>
      </c>
      <c r="C29" t="s">
        <v>70</v>
      </c>
      <c r="D29" s="16">
        <v>11162.2</v>
      </c>
      <c r="E29" s="4">
        <v>966</v>
      </c>
    </row>
    <row r="30" spans="1:5" x14ac:dyDescent="0.2">
      <c r="A30" t="s">
        <v>85</v>
      </c>
      <c r="B30" t="s">
        <v>84</v>
      </c>
      <c r="C30" t="s">
        <v>17</v>
      </c>
      <c r="D30" s="16">
        <v>8937.98</v>
      </c>
      <c r="E30" s="4">
        <v>733</v>
      </c>
    </row>
    <row r="31" spans="1:5" x14ac:dyDescent="0.2">
      <c r="A31" t="s">
        <v>52</v>
      </c>
      <c r="B31" t="s">
        <v>51</v>
      </c>
      <c r="C31" t="s">
        <v>17</v>
      </c>
      <c r="D31" s="16">
        <v>11436.6</v>
      </c>
      <c r="E31" s="4">
        <v>910</v>
      </c>
    </row>
    <row r="32" spans="1:5" x14ac:dyDescent="0.2">
      <c r="A32" t="s">
        <v>27</v>
      </c>
      <c r="B32" t="s">
        <v>26</v>
      </c>
      <c r="C32" t="s">
        <v>21</v>
      </c>
      <c r="D32" s="16">
        <v>21780</v>
      </c>
      <c r="E32" s="4">
        <v>880</v>
      </c>
    </row>
    <row r="33" spans="1:5" x14ac:dyDescent="0.2">
      <c r="A33" t="s">
        <v>41</v>
      </c>
      <c r="B33" t="s">
        <v>40</v>
      </c>
      <c r="C33" t="s">
        <v>21</v>
      </c>
      <c r="D33" s="16">
        <v>11988.699999999999</v>
      </c>
      <c r="E33" s="4">
        <v>920</v>
      </c>
    </row>
    <row r="34" spans="1:5" x14ac:dyDescent="0.2">
      <c r="A34" t="s">
        <v>101</v>
      </c>
      <c r="B34" t="s">
        <v>84</v>
      </c>
      <c r="C34" t="s">
        <v>21</v>
      </c>
      <c r="D34" s="16">
        <v>10412.550000000001</v>
      </c>
      <c r="E34" s="4">
        <v>836</v>
      </c>
    </row>
    <row r="35" spans="1:5" x14ac:dyDescent="0.2">
      <c r="A35" t="s">
        <v>105</v>
      </c>
      <c r="B35" t="s">
        <v>104</v>
      </c>
      <c r="C35" t="s">
        <v>12</v>
      </c>
      <c r="D35" s="16">
        <v>11184</v>
      </c>
      <c r="E35" s="4">
        <v>907</v>
      </c>
    </row>
    <row r="36" spans="1:5" x14ac:dyDescent="0.2">
      <c r="A36" t="s">
        <v>77</v>
      </c>
      <c r="B36" t="s">
        <v>76</v>
      </c>
      <c r="C36" t="s">
        <v>21</v>
      </c>
      <c r="D36" s="16">
        <v>10757.31</v>
      </c>
      <c r="E36" s="4">
        <v>768</v>
      </c>
    </row>
    <row r="37" spans="1:5" x14ac:dyDescent="0.2">
      <c r="A37" t="s">
        <v>9</v>
      </c>
      <c r="B37" t="s">
        <v>8</v>
      </c>
      <c r="C37" t="s">
        <v>12</v>
      </c>
      <c r="D37" s="16">
        <v>18340</v>
      </c>
      <c r="E37" s="4">
        <v>990</v>
      </c>
    </row>
    <row r="38" spans="1:5" x14ac:dyDescent="0.2">
      <c r="A38" t="s">
        <v>35</v>
      </c>
      <c r="B38" t="s">
        <v>34</v>
      </c>
      <c r="C38" t="s">
        <v>12</v>
      </c>
      <c r="D38" s="16">
        <v>11780</v>
      </c>
      <c r="E38" s="4">
        <v>913</v>
      </c>
    </row>
    <row r="39" spans="1:5" x14ac:dyDescent="0.2">
      <c r="A39" t="s">
        <v>143</v>
      </c>
      <c r="D39" s="16">
        <v>453177.75</v>
      </c>
      <c r="E39" s="4">
        <v>30044</v>
      </c>
    </row>
  </sheetData>
  <autoFilter ref="A4:E39" xr:uid="{F074B65A-2E33-42D7-B134-2C3DA0F86556}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D2F8-DE32-4622-B9F2-081E83CEBD3B}">
  <dimension ref="A1:L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2" sqref="I2"/>
    </sheetView>
  </sheetViews>
  <sheetFormatPr baseColWidth="10" defaultRowHeight="15" x14ac:dyDescent="0.2"/>
  <cols>
    <col min="1" max="1" width="22.33203125" bestFit="1" customWidth="1"/>
    <col min="2" max="2" width="18.33203125" customWidth="1"/>
    <col min="3" max="3" width="13.83203125" bestFit="1" customWidth="1"/>
    <col min="4" max="4" width="7.1640625" bestFit="1" customWidth="1"/>
    <col min="5" max="5" width="13.33203125" bestFit="1" customWidth="1"/>
    <col min="6" max="6" width="13.5" bestFit="1" customWidth="1"/>
    <col min="7" max="7" width="12.6640625" bestFit="1" customWidth="1"/>
    <col min="8" max="8" width="12.5" customWidth="1"/>
  </cols>
  <sheetData>
    <row r="1" spans="1:8" ht="25.5" customHeight="1" x14ac:dyDescent="0.2"/>
    <row r="2" spans="1:8" ht="32.25" customHeight="1" x14ac:dyDescent="0.2"/>
    <row r="3" spans="1:8" x14ac:dyDescent="0.2">
      <c r="A3" s="15" t="s">
        <v>147</v>
      </c>
    </row>
    <row r="4" spans="1:8" x14ac:dyDescent="0.2">
      <c r="A4" s="15" t="s">
        <v>4</v>
      </c>
      <c r="B4" s="15" t="s">
        <v>2</v>
      </c>
      <c r="C4" s="15" t="s">
        <v>1</v>
      </c>
      <c r="D4" s="15" t="s">
        <v>6</v>
      </c>
      <c r="E4" s="15" t="s">
        <v>138</v>
      </c>
      <c r="F4" s="15" t="s">
        <v>5</v>
      </c>
      <c r="G4" s="15" t="s">
        <v>146</v>
      </c>
      <c r="H4" t="s">
        <v>142</v>
      </c>
    </row>
    <row r="5" spans="1:8" x14ac:dyDescent="0.2">
      <c r="A5" t="s">
        <v>42</v>
      </c>
      <c r="B5" t="s">
        <v>20</v>
      </c>
      <c r="C5" t="s">
        <v>19</v>
      </c>
      <c r="D5" s="19">
        <v>0.12</v>
      </c>
      <c r="E5" s="4">
        <v>987</v>
      </c>
      <c r="F5">
        <v>10.76</v>
      </c>
      <c r="G5" s="18">
        <v>4</v>
      </c>
      <c r="H5" s="16">
        <v>10620.119999999999</v>
      </c>
    </row>
    <row r="6" spans="1:8" x14ac:dyDescent="0.2">
      <c r="B6" t="s">
        <v>32</v>
      </c>
      <c r="C6" t="s">
        <v>31</v>
      </c>
      <c r="D6" s="19">
        <v>0.11</v>
      </c>
      <c r="E6" s="4">
        <v>980</v>
      </c>
      <c r="F6">
        <v>12.45</v>
      </c>
      <c r="G6" s="18">
        <v>7</v>
      </c>
      <c r="H6" s="16">
        <v>12201</v>
      </c>
    </row>
    <row r="7" spans="1:8" x14ac:dyDescent="0.2">
      <c r="B7" t="s">
        <v>112</v>
      </c>
      <c r="C7" t="s">
        <v>104</v>
      </c>
      <c r="D7" s="19">
        <v>0.15</v>
      </c>
      <c r="E7" s="4">
        <v>977</v>
      </c>
      <c r="F7">
        <v>10.31</v>
      </c>
      <c r="G7" s="18">
        <v>4</v>
      </c>
      <c r="H7" s="16">
        <v>10072.870000000001</v>
      </c>
    </row>
    <row r="8" spans="1:8" x14ac:dyDescent="0.2">
      <c r="B8" t="s">
        <v>59</v>
      </c>
      <c r="C8" t="s">
        <v>58</v>
      </c>
      <c r="D8" s="19">
        <v>0.16</v>
      </c>
      <c r="E8" s="4">
        <v>1000</v>
      </c>
      <c r="F8">
        <v>11.89</v>
      </c>
      <c r="G8" s="18">
        <v>4</v>
      </c>
      <c r="H8" s="16">
        <v>11890</v>
      </c>
    </row>
    <row r="9" spans="1:8" x14ac:dyDescent="0.2">
      <c r="B9" t="s">
        <v>132</v>
      </c>
      <c r="C9" t="s">
        <v>131</v>
      </c>
      <c r="D9" s="19">
        <v>0.17</v>
      </c>
      <c r="E9" s="4">
        <v>980</v>
      </c>
      <c r="F9">
        <v>11.39</v>
      </c>
      <c r="G9" s="18">
        <v>4</v>
      </c>
      <c r="H9" s="16">
        <v>11162.2</v>
      </c>
    </row>
    <row r="10" spans="1:8" x14ac:dyDescent="0.2">
      <c r="B10" t="s">
        <v>41</v>
      </c>
      <c r="C10" t="s">
        <v>40</v>
      </c>
      <c r="D10" s="19">
        <v>0.12</v>
      </c>
      <c r="E10" s="4">
        <v>1010</v>
      </c>
      <c r="F10">
        <v>11.87</v>
      </c>
      <c r="G10" s="18">
        <v>5</v>
      </c>
      <c r="H10" s="16">
        <v>11988.699999999999</v>
      </c>
    </row>
    <row r="11" spans="1:8" x14ac:dyDescent="0.2">
      <c r="A11" s="21" t="s">
        <v>150</v>
      </c>
      <c r="B11" s="21"/>
      <c r="C11" s="21"/>
      <c r="D11" s="21"/>
      <c r="E11" s="21"/>
      <c r="F11" s="21"/>
      <c r="G11" s="21"/>
      <c r="H11" s="20">
        <v>67934.89</v>
      </c>
    </row>
    <row r="12" spans="1:8" x14ac:dyDescent="0.2">
      <c r="A12" t="s">
        <v>87</v>
      </c>
      <c r="B12" t="s">
        <v>85</v>
      </c>
      <c r="C12" t="s">
        <v>84</v>
      </c>
      <c r="D12" s="19">
        <v>0.17</v>
      </c>
      <c r="E12" s="4">
        <v>817</v>
      </c>
      <c r="F12">
        <v>10.94</v>
      </c>
      <c r="G12" s="18">
        <v>4</v>
      </c>
      <c r="H12" s="16">
        <v>8937.98</v>
      </c>
    </row>
    <row r="13" spans="1:8" x14ac:dyDescent="0.2">
      <c r="A13" s="21" t="s">
        <v>151</v>
      </c>
      <c r="B13" s="21"/>
      <c r="C13" s="21"/>
      <c r="D13" s="21"/>
      <c r="E13" s="21"/>
      <c r="F13" s="21"/>
      <c r="G13" s="21"/>
      <c r="H13" s="20">
        <v>8937.98</v>
      </c>
    </row>
    <row r="14" spans="1:8" x14ac:dyDescent="0.2">
      <c r="A14" t="s">
        <v>53</v>
      </c>
      <c r="B14" t="s">
        <v>52</v>
      </c>
      <c r="C14" t="s">
        <v>51</v>
      </c>
      <c r="D14" s="19">
        <v>0.11</v>
      </c>
      <c r="E14" s="4">
        <v>980</v>
      </c>
      <c r="F14">
        <v>11.67</v>
      </c>
      <c r="G14" s="18">
        <v>6</v>
      </c>
      <c r="H14" s="16">
        <v>11436.6</v>
      </c>
    </row>
    <row r="15" spans="1:8" x14ac:dyDescent="0.2">
      <c r="A15" t="s">
        <v>152</v>
      </c>
      <c r="H15" s="16">
        <v>11436.6</v>
      </c>
    </row>
    <row r="16" spans="1:8" x14ac:dyDescent="0.2">
      <c r="A16" t="s">
        <v>79</v>
      </c>
      <c r="B16" t="s">
        <v>125</v>
      </c>
      <c r="C16" t="s">
        <v>124</v>
      </c>
      <c r="D16" s="19">
        <v>0.12</v>
      </c>
      <c r="E16" s="4">
        <v>952</v>
      </c>
      <c r="F16">
        <v>12.32</v>
      </c>
      <c r="G16" s="18">
        <v>4</v>
      </c>
      <c r="H16" s="16">
        <v>11728.64</v>
      </c>
    </row>
    <row r="17" spans="1:12" x14ac:dyDescent="0.2">
      <c r="B17" t="s">
        <v>90</v>
      </c>
      <c r="C17" t="s">
        <v>89</v>
      </c>
      <c r="D17" s="19">
        <v>0.14000000000000001</v>
      </c>
      <c r="E17" s="4">
        <v>999</v>
      </c>
      <c r="F17">
        <v>13.15</v>
      </c>
      <c r="G17" s="18">
        <v>4</v>
      </c>
      <c r="H17" s="16">
        <v>13136.85</v>
      </c>
    </row>
    <row r="18" spans="1:12" x14ac:dyDescent="0.2">
      <c r="B18" t="s">
        <v>81</v>
      </c>
      <c r="C18" t="s">
        <v>72</v>
      </c>
      <c r="D18" s="19">
        <v>0.16</v>
      </c>
      <c r="E18" s="4">
        <v>821</v>
      </c>
      <c r="F18">
        <v>12.32</v>
      </c>
      <c r="G18" s="18">
        <v>4</v>
      </c>
      <c r="H18" s="16">
        <v>10114.719999999999</v>
      </c>
    </row>
    <row r="19" spans="1:12" x14ac:dyDescent="0.2">
      <c r="B19" t="s">
        <v>98</v>
      </c>
      <c r="C19" t="s">
        <v>97</v>
      </c>
      <c r="D19" s="19">
        <v>0.13</v>
      </c>
      <c r="E19" s="4">
        <v>962</v>
      </c>
      <c r="F19">
        <v>13.16</v>
      </c>
      <c r="G19" s="18">
        <v>4</v>
      </c>
      <c r="H19" s="16">
        <v>12659.92</v>
      </c>
    </row>
    <row r="20" spans="1:12" x14ac:dyDescent="0.2">
      <c r="B20" t="s">
        <v>122</v>
      </c>
      <c r="C20" t="s">
        <v>84</v>
      </c>
      <c r="D20" s="19">
        <v>0.17</v>
      </c>
      <c r="E20" s="4">
        <v>835</v>
      </c>
      <c r="F20">
        <v>12.34</v>
      </c>
      <c r="G20" s="18">
        <v>4</v>
      </c>
      <c r="H20" s="16">
        <v>10303.9</v>
      </c>
    </row>
    <row r="21" spans="1:12" x14ac:dyDescent="0.2">
      <c r="B21" t="s">
        <v>101</v>
      </c>
      <c r="C21" t="s">
        <v>84</v>
      </c>
      <c r="D21" s="19">
        <v>0.12</v>
      </c>
      <c r="E21" s="4">
        <v>857</v>
      </c>
      <c r="F21">
        <v>12.15</v>
      </c>
      <c r="G21" s="18">
        <v>4</v>
      </c>
      <c r="H21" s="16">
        <v>10412.550000000001</v>
      </c>
    </row>
    <row r="22" spans="1:12" x14ac:dyDescent="0.2">
      <c r="B22" t="s">
        <v>77</v>
      </c>
      <c r="C22" t="s">
        <v>76</v>
      </c>
      <c r="D22" s="19">
        <v>0.17</v>
      </c>
      <c r="E22" s="4">
        <v>807</v>
      </c>
      <c r="F22">
        <v>13.33</v>
      </c>
      <c r="G22" s="18">
        <v>5</v>
      </c>
      <c r="H22" s="16">
        <v>10757.31</v>
      </c>
    </row>
    <row r="23" spans="1:12" x14ac:dyDescent="0.2">
      <c r="A23" s="21" t="s">
        <v>153</v>
      </c>
      <c r="B23" s="21"/>
      <c r="C23" s="21"/>
      <c r="D23" s="21"/>
      <c r="E23" s="21"/>
      <c r="F23" s="21"/>
      <c r="G23" s="21"/>
      <c r="H23" s="20">
        <v>79113.89</v>
      </c>
    </row>
    <row r="24" spans="1:12" x14ac:dyDescent="0.2">
      <c r="A24" t="s">
        <v>49</v>
      </c>
      <c r="B24" t="s">
        <v>48</v>
      </c>
      <c r="C24" t="s">
        <v>47</v>
      </c>
      <c r="D24" s="19">
        <v>0.19</v>
      </c>
      <c r="E24" s="4">
        <v>1012</v>
      </c>
      <c r="F24">
        <v>21</v>
      </c>
      <c r="G24" s="18">
        <v>5</v>
      </c>
      <c r="H24" s="16">
        <v>21252</v>
      </c>
    </row>
    <row r="25" spans="1:12" x14ac:dyDescent="0.2">
      <c r="A25" s="21" t="s">
        <v>154</v>
      </c>
      <c r="B25" s="21"/>
      <c r="C25" s="21"/>
      <c r="D25" s="21"/>
      <c r="E25" s="21"/>
      <c r="F25" s="21"/>
      <c r="G25" s="21"/>
      <c r="H25" s="20">
        <v>21252</v>
      </c>
    </row>
    <row r="26" spans="1:12" x14ac:dyDescent="0.2">
      <c r="A26" t="s">
        <v>28</v>
      </c>
      <c r="B26" t="s">
        <v>27</v>
      </c>
      <c r="C26" t="s">
        <v>26</v>
      </c>
      <c r="D26" s="19">
        <v>0.19</v>
      </c>
      <c r="E26" s="4">
        <v>1000</v>
      </c>
      <c r="F26">
        <v>21.78</v>
      </c>
      <c r="G26" s="18">
        <v>5</v>
      </c>
      <c r="H26" s="16">
        <v>21780</v>
      </c>
    </row>
    <row r="27" spans="1:12" x14ac:dyDescent="0.2">
      <c r="A27" s="21" t="s">
        <v>155</v>
      </c>
      <c r="B27" s="21"/>
      <c r="C27" s="21"/>
      <c r="D27" s="21"/>
      <c r="E27" s="21"/>
      <c r="F27" s="21"/>
      <c r="G27" s="21"/>
      <c r="H27" s="20">
        <v>21780</v>
      </c>
    </row>
    <row r="28" spans="1:12" x14ac:dyDescent="0.2">
      <c r="A28" t="s">
        <v>16</v>
      </c>
      <c r="B28" t="s">
        <v>56</v>
      </c>
      <c r="C28" t="s">
        <v>55</v>
      </c>
      <c r="D28" s="19">
        <v>0.18</v>
      </c>
      <c r="E28" s="4">
        <v>1010</v>
      </c>
      <c r="F28">
        <v>18</v>
      </c>
      <c r="G28" s="18">
        <v>5</v>
      </c>
      <c r="H28" s="16">
        <v>18180</v>
      </c>
      <c r="L28" t="s">
        <v>160</v>
      </c>
    </row>
    <row r="29" spans="1:12" x14ac:dyDescent="0.2">
      <c r="B29" t="s">
        <v>15</v>
      </c>
      <c r="C29" t="s">
        <v>14</v>
      </c>
      <c r="D29" s="19">
        <v>0.16</v>
      </c>
      <c r="E29" s="4">
        <v>900</v>
      </c>
      <c r="F29">
        <v>19.54</v>
      </c>
      <c r="G29" s="18">
        <v>3</v>
      </c>
      <c r="H29" s="16">
        <v>17586</v>
      </c>
    </row>
    <row r="30" spans="1:12" x14ac:dyDescent="0.2">
      <c r="B30" t="s">
        <v>119</v>
      </c>
      <c r="C30" t="s">
        <v>118</v>
      </c>
      <c r="D30" s="19">
        <v>0.18</v>
      </c>
      <c r="E30" s="4">
        <v>1004</v>
      </c>
      <c r="F30">
        <v>18.760000000000002</v>
      </c>
      <c r="G30" s="18">
        <v>4</v>
      </c>
      <c r="H30" s="16">
        <v>18835.04</v>
      </c>
    </row>
    <row r="31" spans="1:12" x14ac:dyDescent="0.2">
      <c r="B31" t="s">
        <v>115</v>
      </c>
      <c r="C31" t="s">
        <v>97</v>
      </c>
      <c r="D31" s="19">
        <v>0.18</v>
      </c>
      <c r="E31" s="4">
        <v>908</v>
      </c>
      <c r="F31">
        <v>20.51</v>
      </c>
      <c r="G31" s="18">
        <v>4</v>
      </c>
      <c r="H31" s="16">
        <v>18623.080000000002</v>
      </c>
    </row>
    <row r="32" spans="1:12" x14ac:dyDescent="0.2">
      <c r="B32" t="s">
        <v>73</v>
      </c>
      <c r="C32" t="s">
        <v>72</v>
      </c>
      <c r="D32" s="19">
        <v>0.18</v>
      </c>
      <c r="E32" s="4">
        <v>1061</v>
      </c>
      <c r="F32">
        <v>17.96</v>
      </c>
      <c r="G32" s="18">
        <v>5</v>
      </c>
      <c r="H32" s="16">
        <v>19055.560000000001</v>
      </c>
    </row>
    <row r="33" spans="1:8" x14ac:dyDescent="0.2">
      <c r="A33" s="21" t="s">
        <v>156</v>
      </c>
      <c r="B33" s="21"/>
      <c r="C33" s="21"/>
      <c r="D33" s="21"/>
      <c r="E33" s="21"/>
      <c r="F33" s="21"/>
      <c r="G33" s="21"/>
      <c r="H33" s="20">
        <v>92279.679999999993</v>
      </c>
    </row>
    <row r="34" spans="1:8" x14ac:dyDescent="0.2">
      <c r="A34" t="s">
        <v>69</v>
      </c>
      <c r="B34" t="s">
        <v>109</v>
      </c>
      <c r="C34" t="s">
        <v>108</v>
      </c>
      <c r="D34" s="19">
        <v>0.12</v>
      </c>
      <c r="E34" s="4">
        <v>999</v>
      </c>
      <c r="F34">
        <v>12.73</v>
      </c>
      <c r="G34" s="18">
        <v>5</v>
      </c>
      <c r="H34" s="16">
        <v>12717.27</v>
      </c>
    </row>
    <row r="35" spans="1:8" x14ac:dyDescent="0.2">
      <c r="B35" t="s">
        <v>67</v>
      </c>
      <c r="C35" t="s">
        <v>66</v>
      </c>
      <c r="D35" s="19">
        <v>0.17</v>
      </c>
      <c r="E35" s="4">
        <v>813</v>
      </c>
      <c r="F35">
        <v>12.13</v>
      </c>
      <c r="G35" s="18">
        <v>5</v>
      </c>
      <c r="H35" s="16">
        <v>9861.69</v>
      </c>
    </row>
    <row r="36" spans="1:8" x14ac:dyDescent="0.2">
      <c r="B36" t="s">
        <v>105</v>
      </c>
      <c r="C36" t="s">
        <v>104</v>
      </c>
      <c r="D36" s="19">
        <v>0.15</v>
      </c>
      <c r="E36" s="4">
        <v>932</v>
      </c>
      <c r="F36">
        <v>12</v>
      </c>
      <c r="G36" s="18">
        <v>4</v>
      </c>
      <c r="H36" s="16">
        <v>11184</v>
      </c>
    </row>
    <row r="37" spans="1:8" x14ac:dyDescent="0.2">
      <c r="A37" s="21" t="s">
        <v>157</v>
      </c>
      <c r="B37" s="21"/>
      <c r="C37" s="21"/>
      <c r="D37" s="21"/>
      <c r="E37" s="21"/>
      <c r="F37" s="21"/>
      <c r="G37" s="21"/>
      <c r="H37" s="20">
        <v>33762.959999999999</v>
      </c>
    </row>
    <row r="38" spans="1:8" x14ac:dyDescent="0.2">
      <c r="A38" t="s">
        <v>38</v>
      </c>
      <c r="B38" t="s">
        <v>37</v>
      </c>
      <c r="C38" t="s">
        <v>19</v>
      </c>
      <c r="D38" s="19">
        <v>0.11</v>
      </c>
      <c r="E38" s="4">
        <v>900</v>
      </c>
      <c r="F38">
        <v>10.89</v>
      </c>
      <c r="G38" s="18">
        <v>7</v>
      </c>
      <c r="H38" s="16">
        <v>9801</v>
      </c>
    </row>
    <row r="39" spans="1:8" x14ac:dyDescent="0.2">
      <c r="B39" t="s">
        <v>35</v>
      </c>
      <c r="C39" t="s">
        <v>34</v>
      </c>
      <c r="D39" s="19">
        <v>0.12</v>
      </c>
      <c r="E39" s="4">
        <v>1000</v>
      </c>
      <c r="F39">
        <v>11.78</v>
      </c>
      <c r="G39" s="18">
        <v>4</v>
      </c>
      <c r="H39" s="16">
        <v>11780</v>
      </c>
    </row>
    <row r="40" spans="1:8" x14ac:dyDescent="0.2">
      <c r="A40" s="21" t="s">
        <v>158</v>
      </c>
      <c r="B40" s="21"/>
      <c r="C40" s="21"/>
      <c r="D40" s="21"/>
      <c r="E40" s="21"/>
      <c r="F40" s="21"/>
      <c r="G40" s="21"/>
      <c r="H40" s="20">
        <v>21581</v>
      </c>
    </row>
    <row r="41" spans="1:8" x14ac:dyDescent="0.2">
      <c r="A41" t="s">
        <v>11</v>
      </c>
      <c r="B41" t="s">
        <v>94</v>
      </c>
      <c r="C41" t="s">
        <v>93</v>
      </c>
      <c r="D41" s="19">
        <v>0.13</v>
      </c>
      <c r="E41" s="4">
        <v>984</v>
      </c>
      <c r="F41">
        <v>10.67</v>
      </c>
      <c r="G41" s="18">
        <v>4</v>
      </c>
      <c r="H41" s="16">
        <v>10499.28</v>
      </c>
    </row>
    <row r="42" spans="1:8" x14ac:dyDescent="0.2">
      <c r="B42" t="s">
        <v>24</v>
      </c>
      <c r="C42" t="s">
        <v>23</v>
      </c>
      <c r="D42" s="19">
        <v>0.18</v>
      </c>
      <c r="E42" s="4">
        <v>1010</v>
      </c>
      <c r="F42">
        <v>18.760000000000002</v>
      </c>
      <c r="G42" s="18">
        <v>5</v>
      </c>
      <c r="H42" s="16">
        <v>18947.600000000002</v>
      </c>
    </row>
    <row r="43" spans="1:8" x14ac:dyDescent="0.2">
      <c r="B43" t="s">
        <v>62</v>
      </c>
      <c r="C43" t="s">
        <v>61</v>
      </c>
      <c r="D43" s="19">
        <v>0.14000000000000001</v>
      </c>
      <c r="E43" s="4">
        <v>876</v>
      </c>
      <c r="F43">
        <v>11.92</v>
      </c>
      <c r="G43" s="18">
        <v>5</v>
      </c>
      <c r="H43" s="16">
        <v>10441.92</v>
      </c>
    </row>
    <row r="44" spans="1:8" x14ac:dyDescent="0.2">
      <c r="B44" t="s">
        <v>128</v>
      </c>
      <c r="C44" t="s">
        <v>89</v>
      </c>
      <c r="D44" s="19">
        <v>0.16</v>
      </c>
      <c r="E44" s="4">
        <v>971</v>
      </c>
      <c r="F44">
        <v>12.73</v>
      </c>
      <c r="G44" s="18">
        <v>4</v>
      </c>
      <c r="H44" s="16">
        <v>12360.83</v>
      </c>
    </row>
    <row r="45" spans="1:8" x14ac:dyDescent="0.2">
      <c r="B45" t="s">
        <v>135</v>
      </c>
      <c r="C45" t="s">
        <v>84</v>
      </c>
      <c r="D45" s="19">
        <v>0.14000000000000001</v>
      </c>
      <c r="E45" s="4">
        <v>864</v>
      </c>
      <c r="F45">
        <v>13.83</v>
      </c>
      <c r="G45" s="18">
        <v>4</v>
      </c>
      <c r="H45" s="16">
        <v>11949.12</v>
      </c>
    </row>
    <row r="46" spans="1:8" x14ac:dyDescent="0.2">
      <c r="B46" t="s">
        <v>45</v>
      </c>
      <c r="C46" t="s">
        <v>44</v>
      </c>
      <c r="D46" s="19">
        <v>0.11</v>
      </c>
      <c r="E46" s="4">
        <v>1000</v>
      </c>
      <c r="F46">
        <v>12.56</v>
      </c>
      <c r="G46" s="18">
        <v>7</v>
      </c>
      <c r="H46" s="16">
        <v>12560</v>
      </c>
    </row>
    <row r="47" spans="1:8" x14ac:dyDescent="0.2">
      <c r="B47" t="s">
        <v>9</v>
      </c>
      <c r="C47" t="s">
        <v>8</v>
      </c>
      <c r="D47" s="19">
        <v>0.23</v>
      </c>
      <c r="E47" s="4">
        <v>1000</v>
      </c>
      <c r="F47">
        <v>18.34</v>
      </c>
      <c r="G47" s="18">
        <v>1</v>
      </c>
      <c r="H47" s="16">
        <v>18340</v>
      </c>
    </row>
    <row r="48" spans="1:8" x14ac:dyDescent="0.2">
      <c r="A48" s="21" t="s">
        <v>159</v>
      </c>
      <c r="B48" s="21"/>
      <c r="C48" s="21"/>
      <c r="D48" s="21"/>
      <c r="E48" s="21"/>
      <c r="F48" s="21"/>
      <c r="G48" s="21"/>
      <c r="H48" s="20">
        <v>95098.75</v>
      </c>
    </row>
    <row r="49" spans="1:8" x14ac:dyDescent="0.2">
      <c r="A49" t="s">
        <v>143</v>
      </c>
      <c r="H49" s="16">
        <v>453177.75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zoomScaleNormal="100" workbookViewId="0">
      <selection activeCell="E38" sqref="E38"/>
    </sheetView>
  </sheetViews>
  <sheetFormatPr baseColWidth="10" defaultColWidth="8.83203125" defaultRowHeight="15" x14ac:dyDescent="0.2"/>
  <cols>
    <col min="1" max="1" width="16.6640625" style="8" bestFit="1" customWidth="1"/>
    <col min="2" max="2" width="13.83203125" bestFit="1" customWidth="1"/>
    <col min="3" max="3" width="18.5" bestFit="1" customWidth="1"/>
    <col min="4" max="4" width="15.83203125" bestFit="1" customWidth="1"/>
    <col min="5" max="5" width="13.5" bestFit="1" customWidth="1"/>
    <col min="6" max="6" width="17.6640625" bestFit="1" customWidth="1"/>
    <col min="7" max="7" width="19.5" style="4" bestFit="1" customWidth="1"/>
    <col min="8" max="8" width="22.33203125" style="4" bestFit="1" customWidth="1"/>
    <col min="9" max="9" width="21.6640625" bestFit="1" customWidth="1"/>
    <col min="10" max="10" width="11" style="10" bestFit="1" customWidth="1"/>
    <col min="11" max="11" width="9.1640625" style="10" customWidth="1"/>
    <col min="12" max="12" width="18.5" style="10" bestFit="1" customWidth="1"/>
    <col min="13" max="13" width="11.5" bestFit="1" customWidth="1"/>
    <col min="14" max="14" width="16.83203125" customWidth="1"/>
  </cols>
  <sheetData>
    <row r="1" spans="1:14" x14ac:dyDescent="0.2">
      <c r="A1" s="12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4</v>
      </c>
      <c r="G1" s="2" t="s">
        <v>138</v>
      </c>
      <c r="H1" s="13" t="s">
        <v>137</v>
      </c>
      <c r="I1" s="13" t="s">
        <v>140</v>
      </c>
      <c r="J1" s="2" t="s">
        <v>5</v>
      </c>
      <c r="K1" s="2" t="s">
        <v>6</v>
      </c>
      <c r="L1" s="1" t="s">
        <v>7</v>
      </c>
      <c r="M1" s="2" t="s">
        <v>139</v>
      </c>
      <c r="N1" s="2" t="s">
        <v>141</v>
      </c>
    </row>
    <row r="2" spans="1:14" x14ac:dyDescent="0.2">
      <c r="A2" s="3" t="s">
        <v>29</v>
      </c>
      <c r="B2" t="s">
        <v>8</v>
      </c>
      <c r="C2" t="s">
        <v>9</v>
      </c>
      <c r="D2" s="3" t="s">
        <v>10</v>
      </c>
      <c r="E2" s="17">
        <f ca="1">DATEDIF(OrigenDatos[[#This Row],[Fecha de ingreso]],TODAY(),"Y")</f>
        <v>1</v>
      </c>
      <c r="F2" t="s">
        <v>11</v>
      </c>
      <c r="G2" s="4">
        <v>1000</v>
      </c>
      <c r="H2" s="4">
        <v>10</v>
      </c>
      <c r="I2" s="4">
        <f>OrigenDatos[[#This Row],[Horas trabajadas año]]-OrigenDatos[[#This Row],[Horas no trabajadas año]]</f>
        <v>990</v>
      </c>
      <c r="J2" s="5">
        <v>18.34</v>
      </c>
      <c r="K2" s="6">
        <v>0.23</v>
      </c>
      <c r="L2" t="s">
        <v>12</v>
      </c>
      <c r="M2" s="5">
        <f>OrigenDatos[[#This Row],[Horas trabajadas año]]*OrigenDatos[[#This Row],[Precio hora]]</f>
        <v>18340</v>
      </c>
      <c r="N2" s="5">
        <f>(1-OrigenDatos[[#This Row],[IRPF]])*(OrigenDatos[[#This Row],[Horas reales trabajadas]]*OrigenDatos[[#This Row],[Precio hora]])</f>
        <v>13980.581999999999</v>
      </c>
    </row>
    <row r="3" spans="1:14" x14ac:dyDescent="0.2">
      <c r="A3" s="3" t="s">
        <v>13</v>
      </c>
      <c r="B3" t="s">
        <v>14</v>
      </c>
      <c r="C3" t="s">
        <v>15</v>
      </c>
      <c r="D3" s="7">
        <v>44967</v>
      </c>
      <c r="E3" s="17">
        <f ca="1">DATEDIF(OrigenDatos[[#This Row],[Fecha de ingreso]],TODAY(),"Y")</f>
        <v>3</v>
      </c>
      <c r="F3" t="s">
        <v>16</v>
      </c>
      <c r="G3" s="4">
        <v>900</v>
      </c>
      <c r="H3" s="4">
        <v>110</v>
      </c>
      <c r="I3" s="4">
        <f>OrigenDatos[[#This Row],[Horas trabajadas año]]-OrigenDatos[[#This Row],[Horas no trabajadas año]]</f>
        <v>790</v>
      </c>
      <c r="J3" s="5">
        <v>19.54</v>
      </c>
      <c r="K3" s="6">
        <v>0.16</v>
      </c>
      <c r="L3" t="s">
        <v>17</v>
      </c>
      <c r="M3" s="5">
        <f>OrigenDatos[[#This Row],[Horas trabajadas año]]*OrigenDatos[[#This Row],[Precio hora]]</f>
        <v>17586</v>
      </c>
      <c r="N3" s="5">
        <f>(1-OrigenDatos[[#This Row],[IRPF]])*(OrigenDatos[[#This Row],[Horas reales trabajadas]]*OrigenDatos[[#This Row],[Precio hora]])</f>
        <v>12966.743999999999</v>
      </c>
    </row>
    <row r="4" spans="1:14" x14ac:dyDescent="0.2">
      <c r="A4" s="3" t="s">
        <v>18</v>
      </c>
      <c r="B4" t="s">
        <v>19</v>
      </c>
      <c r="C4" t="s">
        <v>20</v>
      </c>
      <c r="D4" s="7">
        <v>44492</v>
      </c>
      <c r="E4" s="17">
        <f ca="1">DATEDIF(OrigenDatos[[#This Row],[Fecha de ingreso]],TODAY(),"Y")</f>
        <v>4</v>
      </c>
      <c r="F4" t="s">
        <v>42</v>
      </c>
      <c r="G4" s="4">
        <v>987</v>
      </c>
      <c r="H4" s="4">
        <v>70</v>
      </c>
      <c r="I4" s="4">
        <f>OrigenDatos[[#This Row],[Horas trabajadas año]]-OrigenDatos[[#This Row],[Horas no trabajadas año]]</f>
        <v>917</v>
      </c>
      <c r="J4" s="5">
        <v>10.76</v>
      </c>
      <c r="K4" s="6">
        <v>0.12</v>
      </c>
      <c r="L4" t="s">
        <v>21</v>
      </c>
      <c r="M4" s="5">
        <f>OrigenDatos[[#This Row],[Horas trabajadas año]]*OrigenDatos[[#This Row],[Precio hora]]</f>
        <v>10620.119999999999</v>
      </c>
      <c r="N4" s="5">
        <f>(1-OrigenDatos[[#This Row],[IRPF]])*(OrigenDatos[[#This Row],[Horas reales trabajadas]]*OrigenDatos[[#This Row],[Precio hora]])</f>
        <v>8682.8896000000004</v>
      </c>
    </row>
    <row r="5" spans="1:14" x14ac:dyDescent="0.2">
      <c r="A5" s="3" t="s">
        <v>33</v>
      </c>
      <c r="B5" t="s">
        <v>34</v>
      </c>
      <c r="C5" t="s">
        <v>35</v>
      </c>
      <c r="D5" s="7">
        <v>44356</v>
      </c>
      <c r="E5" s="17">
        <f ca="1">DATEDIF(OrigenDatos[[#This Row],[Fecha de ingreso]],TODAY(),"Y")</f>
        <v>4</v>
      </c>
      <c r="F5" t="s">
        <v>38</v>
      </c>
      <c r="G5" s="4">
        <v>1000</v>
      </c>
      <c r="H5" s="4">
        <v>87</v>
      </c>
      <c r="I5" s="4">
        <f>OrigenDatos[[#This Row],[Horas trabajadas año]]-OrigenDatos[[#This Row],[Horas no trabajadas año]]</f>
        <v>913</v>
      </c>
      <c r="J5" s="5">
        <v>11.78</v>
      </c>
      <c r="K5" s="6">
        <v>0.12</v>
      </c>
      <c r="L5" t="s">
        <v>12</v>
      </c>
      <c r="M5" s="5">
        <f>OrigenDatos[[#This Row],[Horas trabajadas año]]*OrigenDatos[[#This Row],[Precio hora]]</f>
        <v>11780</v>
      </c>
      <c r="N5" s="5">
        <f>(1-OrigenDatos[[#This Row],[IRPF]])*(OrigenDatos[[#This Row],[Horas reales trabajadas]]*OrigenDatos[[#This Row],[Precio hora]])</f>
        <v>9464.5231999999996</v>
      </c>
    </row>
    <row r="6" spans="1:14" x14ac:dyDescent="0.2">
      <c r="A6" s="3" t="s">
        <v>57</v>
      </c>
      <c r="B6" t="s">
        <v>58</v>
      </c>
      <c r="C6" t="s">
        <v>59</v>
      </c>
      <c r="D6" s="7">
        <v>44492</v>
      </c>
      <c r="E6" s="17">
        <f ca="1">DATEDIF(OrigenDatos[[#This Row],[Fecha de ingreso]],TODAY(),"Y")</f>
        <v>4</v>
      </c>
      <c r="F6" t="s">
        <v>42</v>
      </c>
      <c r="G6" s="4">
        <v>1000</v>
      </c>
      <c r="H6" s="4">
        <v>87</v>
      </c>
      <c r="I6" s="4">
        <f>OrigenDatos[[#This Row],[Horas trabajadas año]]-OrigenDatos[[#This Row],[Horas no trabajadas año]]</f>
        <v>913</v>
      </c>
      <c r="J6" s="5">
        <v>11.89</v>
      </c>
      <c r="K6" s="6">
        <v>0.16</v>
      </c>
      <c r="L6" t="s">
        <v>12</v>
      </c>
      <c r="M6" s="5">
        <f>OrigenDatos[[#This Row],[Horas trabajadas año]]*OrigenDatos[[#This Row],[Precio hora]]</f>
        <v>11890</v>
      </c>
      <c r="N6" s="5">
        <f>(1-OrigenDatos[[#This Row],[IRPF]])*(OrigenDatos[[#This Row],[Horas reales trabajadas]]*OrigenDatos[[#This Row],[Precio hora]])</f>
        <v>9118.6787999999997</v>
      </c>
    </row>
    <row r="7" spans="1:14" x14ac:dyDescent="0.2">
      <c r="A7" s="3" t="s">
        <v>80</v>
      </c>
      <c r="B7" s="8" t="s">
        <v>72</v>
      </c>
      <c r="C7" s="8" t="s">
        <v>81</v>
      </c>
      <c r="D7" s="3" t="s">
        <v>82</v>
      </c>
      <c r="E7" s="17">
        <f ca="1">DATEDIF(OrigenDatos[[#This Row],[Fecha de ingreso]],TODAY(),"Y")</f>
        <v>4</v>
      </c>
      <c r="F7" s="8" t="s">
        <v>79</v>
      </c>
      <c r="G7" s="4">
        <v>821</v>
      </c>
      <c r="H7" s="4">
        <v>64</v>
      </c>
      <c r="I7" s="4">
        <f>OrigenDatos[[#This Row],[Horas trabajadas año]]-OrigenDatos[[#This Row],[Horas no trabajadas año]]</f>
        <v>757</v>
      </c>
      <c r="J7" s="11">
        <v>12.32</v>
      </c>
      <c r="K7" s="6">
        <v>0.16</v>
      </c>
      <c r="L7" s="8" t="s">
        <v>12</v>
      </c>
      <c r="M7" s="5">
        <f>OrigenDatos[[#This Row],[Horas trabajadas año]]*OrigenDatos[[#This Row],[Precio hora]]</f>
        <v>10114.719999999999</v>
      </c>
      <c r="N7" s="5">
        <f>(1-OrigenDatos[[#This Row],[IRPF]])*(OrigenDatos[[#This Row],[Horas reales trabajadas]]*OrigenDatos[[#This Row],[Precio hora]])</f>
        <v>7834.0415999999996</v>
      </c>
    </row>
    <row r="8" spans="1:14" x14ac:dyDescent="0.2">
      <c r="A8" s="3" t="s">
        <v>83</v>
      </c>
      <c r="B8" s="8" t="s">
        <v>84</v>
      </c>
      <c r="C8" s="8" t="s">
        <v>85</v>
      </c>
      <c r="D8" s="3" t="s">
        <v>86</v>
      </c>
      <c r="E8" s="17">
        <f ca="1">DATEDIF(OrigenDatos[[#This Row],[Fecha de ingreso]],TODAY(),"Y")</f>
        <v>4</v>
      </c>
      <c r="F8" s="8" t="s">
        <v>87</v>
      </c>
      <c r="G8" s="4">
        <v>817</v>
      </c>
      <c r="H8" s="4">
        <v>84</v>
      </c>
      <c r="I8" s="4">
        <f>OrigenDatos[[#This Row],[Horas trabajadas año]]-OrigenDatos[[#This Row],[Horas no trabajadas año]]</f>
        <v>733</v>
      </c>
      <c r="J8" s="11">
        <v>10.94</v>
      </c>
      <c r="K8" s="6">
        <v>0.17</v>
      </c>
      <c r="L8" s="8" t="s">
        <v>17</v>
      </c>
      <c r="M8" s="5">
        <f>OrigenDatos[[#This Row],[Horas trabajadas año]]*OrigenDatos[[#This Row],[Precio hora]]</f>
        <v>8937.98</v>
      </c>
      <c r="N8" s="5">
        <f>(1-OrigenDatos[[#This Row],[IRPF]])*(OrigenDatos[[#This Row],[Horas reales trabajadas]]*OrigenDatos[[#This Row],[Precio hora]])</f>
        <v>6655.7865999999995</v>
      </c>
    </row>
    <row r="9" spans="1:14" x14ac:dyDescent="0.2">
      <c r="A9" s="3" t="s">
        <v>88</v>
      </c>
      <c r="B9" s="8" t="s">
        <v>89</v>
      </c>
      <c r="C9" s="8" t="s">
        <v>90</v>
      </c>
      <c r="D9" s="3" t="s">
        <v>91</v>
      </c>
      <c r="E9" s="17">
        <f ca="1">DATEDIF(OrigenDatos[[#This Row],[Fecha de ingreso]],TODAY(),"Y")</f>
        <v>4</v>
      </c>
      <c r="F9" s="8" t="s">
        <v>79</v>
      </c>
      <c r="G9" s="4">
        <v>999</v>
      </c>
      <c r="H9" s="4">
        <v>55</v>
      </c>
      <c r="I9" s="4">
        <f>OrigenDatos[[#This Row],[Horas trabajadas año]]-OrigenDatos[[#This Row],[Horas no trabajadas año]]</f>
        <v>944</v>
      </c>
      <c r="J9" s="11">
        <v>13.15</v>
      </c>
      <c r="K9" s="6">
        <v>0.14000000000000001</v>
      </c>
      <c r="L9" s="8" t="s">
        <v>17</v>
      </c>
      <c r="M9" s="5">
        <f>OrigenDatos[[#This Row],[Horas trabajadas año]]*OrigenDatos[[#This Row],[Precio hora]]</f>
        <v>13136.85</v>
      </c>
      <c r="N9" s="5">
        <f>(1-OrigenDatos[[#This Row],[IRPF]])*(OrigenDatos[[#This Row],[Horas reales trabajadas]]*OrigenDatos[[#This Row],[Precio hora]])</f>
        <v>10675.696</v>
      </c>
    </row>
    <row r="10" spans="1:14" x14ac:dyDescent="0.2">
      <c r="A10" s="3" t="s">
        <v>92</v>
      </c>
      <c r="B10" s="8" t="s">
        <v>93</v>
      </c>
      <c r="C10" s="8" t="s">
        <v>94</v>
      </c>
      <c r="D10" s="3" t="s">
        <v>95</v>
      </c>
      <c r="E10" s="17">
        <f ca="1">DATEDIF(OrigenDatos[[#This Row],[Fecha de ingreso]],TODAY(),"Y")</f>
        <v>4</v>
      </c>
      <c r="F10" s="8" t="s">
        <v>11</v>
      </c>
      <c r="G10" s="4">
        <v>984</v>
      </c>
      <c r="H10" s="4">
        <v>80</v>
      </c>
      <c r="I10" s="4">
        <f>OrigenDatos[[#This Row],[Horas trabajadas año]]-OrigenDatos[[#This Row],[Horas no trabajadas año]]</f>
        <v>904</v>
      </c>
      <c r="J10" s="11">
        <v>10.67</v>
      </c>
      <c r="K10" s="6">
        <v>0.13</v>
      </c>
      <c r="L10" s="8" t="s">
        <v>64</v>
      </c>
      <c r="M10" s="5">
        <f>OrigenDatos[[#This Row],[Horas trabajadas año]]*OrigenDatos[[#This Row],[Precio hora]]</f>
        <v>10499.28</v>
      </c>
      <c r="N10" s="5">
        <f>(1-OrigenDatos[[#This Row],[IRPF]])*(OrigenDatos[[#This Row],[Horas reales trabajadas]]*OrigenDatos[[#This Row],[Precio hora]])</f>
        <v>8391.7415999999994</v>
      </c>
    </row>
    <row r="11" spans="1:14" x14ac:dyDescent="0.2">
      <c r="A11" s="3" t="s">
        <v>96</v>
      </c>
      <c r="B11" s="8" t="s">
        <v>97</v>
      </c>
      <c r="C11" s="8" t="s">
        <v>98</v>
      </c>
      <c r="D11" s="3" t="s">
        <v>99</v>
      </c>
      <c r="E11" s="17">
        <f ca="1">DATEDIF(OrigenDatos[[#This Row],[Fecha de ingreso]],TODAY(),"Y")</f>
        <v>4</v>
      </c>
      <c r="F11" s="8" t="s">
        <v>79</v>
      </c>
      <c r="G11" s="4">
        <v>962</v>
      </c>
      <c r="H11" s="4">
        <v>41</v>
      </c>
      <c r="I11" s="4">
        <f>OrigenDatos[[#This Row],[Horas trabajadas año]]-OrigenDatos[[#This Row],[Horas no trabajadas año]]</f>
        <v>921</v>
      </c>
      <c r="J11" s="11">
        <v>13.16</v>
      </c>
      <c r="K11" s="6">
        <v>0.13</v>
      </c>
      <c r="L11" s="8" t="s">
        <v>21</v>
      </c>
      <c r="M11" s="5">
        <f>OrigenDatos[[#This Row],[Horas trabajadas año]]*OrigenDatos[[#This Row],[Precio hora]]</f>
        <v>12659.92</v>
      </c>
      <c r="N11" s="5">
        <f>(1-OrigenDatos[[#This Row],[IRPF]])*(OrigenDatos[[#This Row],[Horas reales trabajadas]]*OrigenDatos[[#This Row],[Precio hora]])</f>
        <v>10544.7132</v>
      </c>
    </row>
    <row r="12" spans="1:14" x14ac:dyDescent="0.2">
      <c r="A12" s="3" t="s">
        <v>100</v>
      </c>
      <c r="B12" s="8" t="s">
        <v>84</v>
      </c>
      <c r="C12" s="8" t="s">
        <v>101</v>
      </c>
      <c r="D12" s="3" t="s">
        <v>102</v>
      </c>
      <c r="E12" s="17">
        <f ca="1">DATEDIF(OrigenDatos[[#This Row],[Fecha de ingreso]],TODAY(),"Y")</f>
        <v>4</v>
      </c>
      <c r="F12" s="8" t="s">
        <v>79</v>
      </c>
      <c r="G12" s="4">
        <v>857</v>
      </c>
      <c r="H12" s="4">
        <v>21</v>
      </c>
      <c r="I12" s="4">
        <f>OrigenDatos[[#This Row],[Horas trabajadas año]]-OrigenDatos[[#This Row],[Horas no trabajadas año]]</f>
        <v>836</v>
      </c>
      <c r="J12" s="11">
        <v>12.15</v>
      </c>
      <c r="K12" s="6">
        <v>0.12</v>
      </c>
      <c r="L12" s="8" t="s">
        <v>21</v>
      </c>
      <c r="M12" s="5">
        <f>OrigenDatos[[#This Row],[Horas trabajadas año]]*OrigenDatos[[#This Row],[Precio hora]]</f>
        <v>10412.550000000001</v>
      </c>
      <c r="N12" s="5">
        <f>(1-OrigenDatos[[#This Row],[IRPF]])*(OrigenDatos[[#This Row],[Horas reales trabajadas]]*OrigenDatos[[#This Row],[Precio hora]])</f>
        <v>8938.5120000000006</v>
      </c>
    </row>
    <row r="13" spans="1:14" x14ac:dyDescent="0.2">
      <c r="A13" s="3" t="s">
        <v>103</v>
      </c>
      <c r="B13" s="8" t="s">
        <v>104</v>
      </c>
      <c r="C13" s="8" t="s">
        <v>105</v>
      </c>
      <c r="D13" s="3" t="s">
        <v>106</v>
      </c>
      <c r="E13" s="17">
        <f ca="1">DATEDIF(OrigenDatos[[#This Row],[Fecha de ingreso]],TODAY(),"Y")</f>
        <v>4</v>
      </c>
      <c r="F13" s="8" t="s">
        <v>69</v>
      </c>
      <c r="G13" s="4">
        <v>932</v>
      </c>
      <c r="H13" s="4">
        <v>25</v>
      </c>
      <c r="I13" s="4">
        <f>OrigenDatos[[#This Row],[Horas trabajadas año]]-OrigenDatos[[#This Row],[Horas no trabajadas año]]</f>
        <v>907</v>
      </c>
      <c r="J13" s="11">
        <v>12</v>
      </c>
      <c r="K13" s="6">
        <v>0.15</v>
      </c>
      <c r="L13" s="8" t="s">
        <v>12</v>
      </c>
      <c r="M13" s="5">
        <f>OrigenDatos[[#This Row],[Horas trabajadas año]]*OrigenDatos[[#This Row],[Precio hora]]</f>
        <v>11184</v>
      </c>
      <c r="N13" s="5">
        <f>(1-OrigenDatos[[#This Row],[IRPF]])*(OrigenDatos[[#This Row],[Horas reales trabajadas]]*OrigenDatos[[#This Row],[Precio hora]])</f>
        <v>9251.4</v>
      </c>
    </row>
    <row r="14" spans="1:14" x14ac:dyDescent="0.2">
      <c r="A14" s="3" t="s">
        <v>111</v>
      </c>
      <c r="B14" s="8" t="s">
        <v>104</v>
      </c>
      <c r="C14" s="8" t="s">
        <v>112</v>
      </c>
      <c r="D14" s="3" t="s">
        <v>113</v>
      </c>
      <c r="E14" s="17">
        <f ca="1">DATEDIF(OrigenDatos[[#This Row],[Fecha de ingreso]],TODAY(),"Y")</f>
        <v>4</v>
      </c>
      <c r="F14" s="8" t="s">
        <v>42</v>
      </c>
      <c r="G14" s="4">
        <v>977</v>
      </c>
      <c r="H14" s="4">
        <v>78</v>
      </c>
      <c r="I14" s="4">
        <f>OrigenDatos[[#This Row],[Horas trabajadas año]]-OrigenDatos[[#This Row],[Horas no trabajadas año]]</f>
        <v>899</v>
      </c>
      <c r="J14" s="11">
        <v>10.31</v>
      </c>
      <c r="K14" s="6">
        <v>0.15</v>
      </c>
      <c r="L14" s="8" t="s">
        <v>64</v>
      </c>
      <c r="M14" s="5">
        <f>OrigenDatos[[#This Row],[Horas trabajadas año]]*OrigenDatos[[#This Row],[Precio hora]]</f>
        <v>10072.870000000001</v>
      </c>
      <c r="N14" s="5">
        <f>(1-OrigenDatos[[#This Row],[IRPF]])*(OrigenDatos[[#This Row],[Horas reales trabajadas]]*OrigenDatos[[#This Row],[Precio hora]])</f>
        <v>7878.3865000000005</v>
      </c>
    </row>
    <row r="15" spans="1:14" x14ac:dyDescent="0.2">
      <c r="A15" s="3" t="s">
        <v>114</v>
      </c>
      <c r="B15" s="8" t="s">
        <v>97</v>
      </c>
      <c r="C15" s="8" t="s">
        <v>115</v>
      </c>
      <c r="D15" s="3" t="s">
        <v>116</v>
      </c>
      <c r="E15" s="17">
        <f ca="1">DATEDIF(OrigenDatos[[#This Row],[Fecha de ingreso]],TODAY(),"Y")</f>
        <v>4</v>
      </c>
      <c r="F15" s="8" t="s">
        <v>16</v>
      </c>
      <c r="G15" s="4">
        <v>908</v>
      </c>
      <c r="H15" s="4">
        <v>76</v>
      </c>
      <c r="I15" s="4">
        <f>OrigenDatos[[#This Row],[Horas trabajadas año]]-OrigenDatos[[#This Row],[Horas no trabajadas año]]</f>
        <v>832</v>
      </c>
      <c r="J15" s="11">
        <v>20.51</v>
      </c>
      <c r="K15" s="6">
        <v>0.18</v>
      </c>
      <c r="L15" s="8" t="s">
        <v>70</v>
      </c>
      <c r="M15" s="5">
        <f>OrigenDatos[[#This Row],[Horas trabajadas año]]*OrigenDatos[[#This Row],[Precio hora]]</f>
        <v>18623.080000000002</v>
      </c>
      <c r="N15" s="5">
        <f>(1-OrigenDatos[[#This Row],[IRPF]])*(OrigenDatos[[#This Row],[Horas reales trabajadas]]*OrigenDatos[[#This Row],[Precio hora]])</f>
        <v>13992.742400000001</v>
      </c>
    </row>
    <row r="16" spans="1:14" x14ac:dyDescent="0.2">
      <c r="A16" s="3" t="s">
        <v>117</v>
      </c>
      <c r="B16" s="8" t="s">
        <v>118</v>
      </c>
      <c r="C16" s="8" t="s">
        <v>119</v>
      </c>
      <c r="D16" s="3" t="s">
        <v>120</v>
      </c>
      <c r="E16" s="17">
        <f ca="1">DATEDIF(OrigenDatos[[#This Row],[Fecha de ingreso]],TODAY(),"Y")</f>
        <v>4</v>
      </c>
      <c r="F16" s="8" t="s">
        <v>16</v>
      </c>
      <c r="G16" s="4">
        <v>1004</v>
      </c>
      <c r="H16" s="4">
        <v>64</v>
      </c>
      <c r="I16" s="4">
        <f>OrigenDatos[[#This Row],[Horas trabajadas año]]-OrigenDatos[[#This Row],[Horas no trabajadas año]]</f>
        <v>940</v>
      </c>
      <c r="J16" s="11">
        <v>18.760000000000002</v>
      </c>
      <c r="K16" s="6">
        <v>0.18</v>
      </c>
      <c r="L16" s="8" t="s">
        <v>70</v>
      </c>
      <c r="M16" s="5">
        <f>OrigenDatos[[#This Row],[Horas trabajadas año]]*OrigenDatos[[#This Row],[Precio hora]]</f>
        <v>18835.04</v>
      </c>
      <c r="N16" s="5">
        <f>(1-OrigenDatos[[#This Row],[IRPF]])*(OrigenDatos[[#This Row],[Horas reales trabajadas]]*OrigenDatos[[#This Row],[Precio hora]])</f>
        <v>14460.208000000002</v>
      </c>
    </row>
    <row r="17" spans="1:14" x14ac:dyDescent="0.2">
      <c r="A17" s="3" t="s">
        <v>121</v>
      </c>
      <c r="B17" s="8" t="s">
        <v>84</v>
      </c>
      <c r="C17" s="8" t="s">
        <v>122</v>
      </c>
      <c r="D17" s="3" t="s">
        <v>91</v>
      </c>
      <c r="E17" s="17">
        <f ca="1">DATEDIF(OrigenDatos[[#This Row],[Fecha de ingreso]],TODAY(),"Y")</f>
        <v>4</v>
      </c>
      <c r="F17" s="8" t="s">
        <v>79</v>
      </c>
      <c r="G17" s="4">
        <v>835</v>
      </c>
      <c r="H17" s="4">
        <v>51</v>
      </c>
      <c r="I17" s="4">
        <f>OrigenDatos[[#This Row],[Horas trabajadas año]]-OrigenDatos[[#This Row],[Horas no trabajadas año]]</f>
        <v>784</v>
      </c>
      <c r="J17" s="11">
        <v>12.34</v>
      </c>
      <c r="K17" s="6">
        <v>0.17</v>
      </c>
      <c r="L17" s="8" t="s">
        <v>12</v>
      </c>
      <c r="M17" s="5">
        <f>OrigenDatos[[#This Row],[Horas trabajadas año]]*OrigenDatos[[#This Row],[Precio hora]]</f>
        <v>10303.9</v>
      </c>
      <c r="N17" s="5">
        <f>(1-OrigenDatos[[#This Row],[IRPF]])*(OrigenDatos[[#This Row],[Horas reales trabajadas]]*OrigenDatos[[#This Row],[Precio hora]])</f>
        <v>8029.8847999999989</v>
      </c>
    </row>
    <row r="18" spans="1:14" x14ac:dyDescent="0.2">
      <c r="A18" s="3" t="s">
        <v>123</v>
      </c>
      <c r="B18" s="8" t="s">
        <v>124</v>
      </c>
      <c r="C18" s="8" t="s">
        <v>125</v>
      </c>
      <c r="D18" s="3" t="s">
        <v>126</v>
      </c>
      <c r="E18" s="17">
        <f ca="1">DATEDIF(OrigenDatos[[#This Row],[Fecha de ingreso]],TODAY(),"Y")</f>
        <v>4</v>
      </c>
      <c r="F18" s="8" t="s">
        <v>79</v>
      </c>
      <c r="G18" s="4">
        <v>952</v>
      </c>
      <c r="H18" s="4">
        <v>83</v>
      </c>
      <c r="I18" s="4">
        <f>OrigenDatos[[#This Row],[Horas trabajadas año]]-OrigenDatos[[#This Row],[Horas no trabajadas año]]</f>
        <v>869</v>
      </c>
      <c r="J18" s="11">
        <v>12.32</v>
      </c>
      <c r="K18" s="6">
        <v>0.12</v>
      </c>
      <c r="L18" s="8" t="s">
        <v>70</v>
      </c>
      <c r="M18" s="5">
        <f>OrigenDatos[[#This Row],[Horas trabajadas año]]*OrigenDatos[[#This Row],[Precio hora]]</f>
        <v>11728.64</v>
      </c>
      <c r="N18" s="5">
        <f>(1-OrigenDatos[[#This Row],[IRPF]])*(OrigenDatos[[#This Row],[Horas reales trabajadas]]*OrigenDatos[[#This Row],[Precio hora]])</f>
        <v>9421.3503999999994</v>
      </c>
    </row>
    <row r="19" spans="1:14" x14ac:dyDescent="0.2">
      <c r="A19" s="3" t="s">
        <v>127</v>
      </c>
      <c r="B19" s="8" t="s">
        <v>89</v>
      </c>
      <c r="C19" s="8" t="s">
        <v>128</v>
      </c>
      <c r="D19" s="3" t="s">
        <v>129</v>
      </c>
      <c r="E19" s="17">
        <f ca="1">DATEDIF(OrigenDatos[[#This Row],[Fecha de ingreso]],TODAY(),"Y")</f>
        <v>4</v>
      </c>
      <c r="F19" s="8" t="s">
        <v>11</v>
      </c>
      <c r="G19" s="4">
        <v>971</v>
      </c>
      <c r="H19" s="4">
        <v>30</v>
      </c>
      <c r="I19" s="4">
        <f>OrigenDatos[[#This Row],[Horas trabajadas año]]-OrigenDatos[[#This Row],[Horas no trabajadas año]]</f>
        <v>941</v>
      </c>
      <c r="J19" s="11">
        <v>12.73</v>
      </c>
      <c r="K19" s="6">
        <v>0.16</v>
      </c>
      <c r="L19" s="8" t="s">
        <v>12</v>
      </c>
      <c r="M19" s="5">
        <f>OrigenDatos[[#This Row],[Horas trabajadas año]]*OrigenDatos[[#This Row],[Precio hora]]</f>
        <v>12360.83</v>
      </c>
      <c r="N19" s="5">
        <f>(1-OrigenDatos[[#This Row],[IRPF]])*(OrigenDatos[[#This Row],[Horas reales trabajadas]]*OrigenDatos[[#This Row],[Precio hora]])</f>
        <v>10062.3012</v>
      </c>
    </row>
    <row r="20" spans="1:14" x14ac:dyDescent="0.2">
      <c r="A20" s="3" t="s">
        <v>130</v>
      </c>
      <c r="B20" s="8" t="s">
        <v>131</v>
      </c>
      <c r="C20" s="8" t="s">
        <v>132</v>
      </c>
      <c r="D20" s="3" t="s">
        <v>133</v>
      </c>
      <c r="E20" s="17">
        <f ca="1">DATEDIF(OrigenDatos[[#This Row],[Fecha de ingreso]],TODAY(),"Y")</f>
        <v>4</v>
      </c>
      <c r="F20" s="8" t="s">
        <v>42</v>
      </c>
      <c r="G20" s="4">
        <v>980</v>
      </c>
      <c r="H20" s="4">
        <v>14</v>
      </c>
      <c r="I20" s="4">
        <f>OrigenDatos[[#This Row],[Horas trabajadas año]]-OrigenDatos[[#This Row],[Horas no trabajadas año]]</f>
        <v>966</v>
      </c>
      <c r="J20" s="11">
        <v>11.39</v>
      </c>
      <c r="K20" s="6">
        <v>0.17</v>
      </c>
      <c r="L20" s="8" t="s">
        <v>70</v>
      </c>
      <c r="M20" s="5">
        <f>OrigenDatos[[#This Row],[Horas trabajadas año]]*OrigenDatos[[#This Row],[Precio hora]]</f>
        <v>11162.2</v>
      </c>
      <c r="N20" s="5">
        <f>(1-OrigenDatos[[#This Row],[IRPF]])*(OrigenDatos[[#This Row],[Horas reales trabajadas]]*OrigenDatos[[#This Row],[Precio hora]])</f>
        <v>9132.2741999999998</v>
      </c>
    </row>
    <row r="21" spans="1:14" x14ac:dyDescent="0.2">
      <c r="A21" s="3" t="s">
        <v>134</v>
      </c>
      <c r="B21" s="8" t="s">
        <v>84</v>
      </c>
      <c r="C21" s="8" t="s">
        <v>135</v>
      </c>
      <c r="D21" s="3" t="s">
        <v>136</v>
      </c>
      <c r="E21" s="17">
        <f ca="1">DATEDIF(OrigenDatos[[#This Row],[Fecha de ingreso]],TODAY(),"Y")</f>
        <v>4</v>
      </c>
      <c r="F21" s="8" t="s">
        <v>11</v>
      </c>
      <c r="G21" s="4">
        <v>864</v>
      </c>
      <c r="H21" s="4">
        <v>88</v>
      </c>
      <c r="I21" s="4">
        <f>OrigenDatos[[#This Row],[Horas trabajadas año]]-OrigenDatos[[#This Row],[Horas no trabajadas año]]</f>
        <v>776</v>
      </c>
      <c r="J21" s="11">
        <v>13.83</v>
      </c>
      <c r="K21" s="6">
        <v>0.14000000000000001</v>
      </c>
      <c r="L21" s="8" t="s">
        <v>17</v>
      </c>
      <c r="M21" s="5">
        <f>OrigenDatos[[#This Row],[Horas trabajadas año]]*OrigenDatos[[#This Row],[Precio hora]]</f>
        <v>11949.12</v>
      </c>
      <c r="N21" s="5">
        <f>(1-OrigenDatos[[#This Row],[IRPF]])*(OrigenDatos[[#This Row],[Horas reales trabajadas]]*OrigenDatos[[#This Row],[Precio hora]])</f>
        <v>9229.5887999999995</v>
      </c>
    </row>
    <row r="22" spans="1:14" x14ac:dyDescent="0.2">
      <c r="A22" s="3" t="s">
        <v>22</v>
      </c>
      <c r="B22" t="s">
        <v>23</v>
      </c>
      <c r="C22" t="s">
        <v>24</v>
      </c>
      <c r="D22" s="7">
        <v>44267</v>
      </c>
      <c r="E22" s="17">
        <f ca="1">DATEDIF(OrigenDatos[[#This Row],[Fecha de ingreso]],TODAY(),"Y")</f>
        <v>5</v>
      </c>
      <c r="F22" t="s">
        <v>11</v>
      </c>
      <c r="G22" s="4">
        <v>1010</v>
      </c>
      <c r="H22" s="4">
        <v>108</v>
      </c>
      <c r="I22" s="4">
        <f>OrigenDatos[[#This Row],[Horas trabajadas año]]-OrigenDatos[[#This Row],[Horas no trabajadas año]]</f>
        <v>902</v>
      </c>
      <c r="J22" s="5">
        <v>18.760000000000002</v>
      </c>
      <c r="K22" s="6">
        <v>0.18</v>
      </c>
      <c r="L22" t="s">
        <v>12</v>
      </c>
      <c r="M22" s="5">
        <f>OrigenDatos[[#This Row],[Horas trabajadas año]]*OrigenDatos[[#This Row],[Precio hora]]</f>
        <v>18947.600000000002</v>
      </c>
      <c r="N22" s="5">
        <f>(1-OrigenDatos[[#This Row],[IRPF]])*(OrigenDatos[[#This Row],[Horas reales trabajadas]]*OrigenDatos[[#This Row],[Precio hora]])</f>
        <v>13875.646400000001</v>
      </c>
    </row>
    <row r="23" spans="1:14" x14ac:dyDescent="0.2">
      <c r="A23" s="3" t="s">
        <v>25</v>
      </c>
      <c r="B23" t="s">
        <v>26</v>
      </c>
      <c r="C23" t="s">
        <v>27</v>
      </c>
      <c r="D23" s="7">
        <v>44083</v>
      </c>
      <c r="E23" s="17">
        <f ca="1">DATEDIF(OrigenDatos[[#This Row],[Fecha de ingreso]],TODAY(),"Y")</f>
        <v>5</v>
      </c>
      <c r="F23" t="s">
        <v>28</v>
      </c>
      <c r="G23" s="4">
        <v>1000</v>
      </c>
      <c r="H23" s="4">
        <v>120</v>
      </c>
      <c r="I23" s="4">
        <f>OrigenDatos[[#This Row],[Horas trabajadas año]]-OrigenDatos[[#This Row],[Horas no trabajadas año]]</f>
        <v>880</v>
      </c>
      <c r="J23" s="5">
        <v>21.78</v>
      </c>
      <c r="K23" s="6">
        <v>0.19</v>
      </c>
      <c r="L23" t="s">
        <v>21</v>
      </c>
      <c r="M23" s="5">
        <f>OrigenDatos[[#This Row],[Horas trabajadas año]]*OrigenDatos[[#This Row],[Precio hora]]</f>
        <v>21780</v>
      </c>
      <c r="N23" s="5">
        <f>(1-OrigenDatos[[#This Row],[IRPF]])*(OrigenDatos[[#This Row],[Horas reales trabajadas]]*OrigenDatos[[#This Row],[Precio hora]])</f>
        <v>15524.784000000001</v>
      </c>
    </row>
    <row r="24" spans="1:14" x14ac:dyDescent="0.2">
      <c r="A24" s="3" t="s">
        <v>39</v>
      </c>
      <c r="B24" t="s">
        <v>40</v>
      </c>
      <c r="C24" t="s">
        <v>41</v>
      </c>
      <c r="D24" s="7">
        <v>44276</v>
      </c>
      <c r="E24" s="17">
        <f ca="1">DATEDIF(OrigenDatos[[#This Row],[Fecha de ingreso]],TODAY(),"Y")</f>
        <v>5</v>
      </c>
      <c r="F24" t="s">
        <v>42</v>
      </c>
      <c r="G24" s="4">
        <v>1010</v>
      </c>
      <c r="H24" s="4">
        <v>90</v>
      </c>
      <c r="I24" s="4">
        <f>OrigenDatos[[#This Row],[Horas trabajadas año]]-OrigenDatos[[#This Row],[Horas no trabajadas año]]</f>
        <v>920</v>
      </c>
      <c r="J24" s="5">
        <v>11.87</v>
      </c>
      <c r="K24" s="6">
        <v>0.12</v>
      </c>
      <c r="L24" t="s">
        <v>21</v>
      </c>
      <c r="M24" s="5">
        <f>OrigenDatos[[#This Row],[Horas trabajadas año]]*OrigenDatos[[#This Row],[Precio hora]]</f>
        <v>11988.699999999999</v>
      </c>
      <c r="N24" s="5">
        <f>(1-OrigenDatos[[#This Row],[IRPF]])*(OrigenDatos[[#This Row],[Horas reales trabajadas]]*OrigenDatos[[#This Row],[Precio hora]])</f>
        <v>9609.9519999999993</v>
      </c>
    </row>
    <row r="25" spans="1:14" x14ac:dyDescent="0.2">
      <c r="A25" s="3" t="s">
        <v>46</v>
      </c>
      <c r="B25" t="s">
        <v>47</v>
      </c>
      <c r="C25" t="s">
        <v>48</v>
      </c>
      <c r="D25" s="7">
        <v>44086</v>
      </c>
      <c r="E25" s="17">
        <f ca="1">DATEDIF(OrigenDatos[[#This Row],[Fecha de ingreso]],TODAY(),"Y")</f>
        <v>5</v>
      </c>
      <c r="F25" t="s">
        <v>49</v>
      </c>
      <c r="G25" s="4">
        <v>1012</v>
      </c>
      <c r="H25" s="4">
        <v>67</v>
      </c>
      <c r="I25" s="4">
        <f>OrigenDatos[[#This Row],[Horas trabajadas año]]-OrigenDatos[[#This Row],[Horas no trabajadas año]]</f>
        <v>945</v>
      </c>
      <c r="J25" s="5">
        <v>21</v>
      </c>
      <c r="K25" s="6">
        <v>0.19</v>
      </c>
      <c r="L25" t="s">
        <v>21</v>
      </c>
      <c r="M25" s="5">
        <f>OrigenDatos[[#This Row],[Horas trabajadas año]]*OrigenDatos[[#This Row],[Precio hora]]</f>
        <v>21252</v>
      </c>
      <c r="N25" s="5">
        <f>(1-OrigenDatos[[#This Row],[IRPF]])*(OrigenDatos[[#This Row],[Horas reales trabajadas]]*OrigenDatos[[#This Row],[Precio hora]])</f>
        <v>16074.45</v>
      </c>
    </row>
    <row r="26" spans="1:14" x14ac:dyDescent="0.2">
      <c r="A26" s="3" t="s">
        <v>54</v>
      </c>
      <c r="B26" t="s">
        <v>55</v>
      </c>
      <c r="C26" t="s">
        <v>56</v>
      </c>
      <c r="D26" s="7">
        <v>44318</v>
      </c>
      <c r="E26" s="17">
        <f ca="1">DATEDIF(OrigenDatos[[#This Row],[Fecha de ingreso]],TODAY(),"Y")</f>
        <v>5</v>
      </c>
      <c r="F26" t="s">
        <v>16</v>
      </c>
      <c r="G26" s="4">
        <v>1010</v>
      </c>
      <c r="H26" s="4">
        <v>60</v>
      </c>
      <c r="I26" s="4">
        <f>OrigenDatos[[#This Row],[Horas trabajadas año]]-OrigenDatos[[#This Row],[Horas no trabajadas año]]</f>
        <v>950</v>
      </c>
      <c r="J26" s="5">
        <v>18</v>
      </c>
      <c r="K26" s="6">
        <v>0.18</v>
      </c>
      <c r="L26" t="s">
        <v>21</v>
      </c>
      <c r="M26" s="5">
        <f>OrigenDatos[[#This Row],[Horas trabajadas año]]*OrigenDatos[[#This Row],[Precio hora]]</f>
        <v>18180</v>
      </c>
      <c r="N26" s="5">
        <f>(1-OrigenDatos[[#This Row],[IRPF]])*(OrigenDatos[[#This Row],[Horas reales trabajadas]]*OrigenDatos[[#This Row],[Precio hora]])</f>
        <v>14022.000000000002</v>
      </c>
    </row>
    <row r="27" spans="1:14" x14ac:dyDescent="0.2">
      <c r="A27" s="3" t="s">
        <v>60</v>
      </c>
      <c r="B27" s="8" t="s">
        <v>61</v>
      </c>
      <c r="C27" s="8" t="s">
        <v>62</v>
      </c>
      <c r="D27" s="3" t="s">
        <v>63</v>
      </c>
      <c r="E27" s="17">
        <f ca="1">DATEDIF(OrigenDatos[[#This Row],[Fecha de ingreso]],TODAY(),"Y")</f>
        <v>5</v>
      </c>
      <c r="F27" s="8" t="s">
        <v>11</v>
      </c>
      <c r="G27" s="4">
        <v>876</v>
      </c>
      <c r="H27" s="4">
        <v>19</v>
      </c>
      <c r="I27" s="4">
        <f>OrigenDatos[[#This Row],[Horas trabajadas año]]-OrigenDatos[[#This Row],[Horas no trabajadas año]]</f>
        <v>857</v>
      </c>
      <c r="J27" s="11">
        <v>11.92</v>
      </c>
      <c r="K27" s="6">
        <v>0.14000000000000001</v>
      </c>
      <c r="L27" s="8" t="s">
        <v>64</v>
      </c>
      <c r="M27" s="5">
        <f>OrigenDatos[[#This Row],[Horas trabajadas año]]*OrigenDatos[[#This Row],[Precio hora]]</f>
        <v>10441.92</v>
      </c>
      <c r="N27" s="5">
        <f>(1-OrigenDatos[[#This Row],[IRPF]])*(OrigenDatos[[#This Row],[Horas reales trabajadas]]*OrigenDatos[[#This Row],[Precio hora]])</f>
        <v>8785.2784000000011</v>
      </c>
    </row>
    <row r="28" spans="1:14" x14ac:dyDescent="0.2">
      <c r="A28" s="3" t="s">
        <v>65</v>
      </c>
      <c r="B28" s="8" t="s">
        <v>66</v>
      </c>
      <c r="C28" s="8" t="s">
        <v>67</v>
      </c>
      <c r="D28" s="3" t="s">
        <v>68</v>
      </c>
      <c r="E28" s="17">
        <f ca="1">DATEDIF(OrigenDatos[[#This Row],[Fecha de ingreso]],TODAY(),"Y")</f>
        <v>5</v>
      </c>
      <c r="F28" s="8" t="s">
        <v>69</v>
      </c>
      <c r="G28" s="4">
        <v>813</v>
      </c>
      <c r="H28" s="4">
        <v>65</v>
      </c>
      <c r="I28" s="4">
        <f>OrigenDatos[[#This Row],[Horas trabajadas año]]-OrigenDatos[[#This Row],[Horas no trabajadas año]]</f>
        <v>748</v>
      </c>
      <c r="J28" s="11">
        <v>12.13</v>
      </c>
      <c r="K28" s="6">
        <v>0.17</v>
      </c>
      <c r="L28" s="8" t="s">
        <v>70</v>
      </c>
      <c r="M28" s="5">
        <f>OrigenDatos[[#This Row],[Horas trabajadas año]]*OrigenDatos[[#This Row],[Precio hora]]</f>
        <v>9861.69</v>
      </c>
      <c r="N28" s="5">
        <f>(1-OrigenDatos[[#This Row],[IRPF]])*(OrigenDatos[[#This Row],[Horas reales trabajadas]]*OrigenDatos[[#This Row],[Precio hora]])</f>
        <v>7530.7891999999993</v>
      </c>
    </row>
    <row r="29" spans="1:14" x14ac:dyDescent="0.2">
      <c r="A29" s="3" t="s">
        <v>71</v>
      </c>
      <c r="B29" s="8" t="s">
        <v>72</v>
      </c>
      <c r="C29" s="8" t="s">
        <v>73</v>
      </c>
      <c r="D29" s="3" t="s">
        <v>74</v>
      </c>
      <c r="E29" s="17">
        <f ca="1">DATEDIF(OrigenDatos[[#This Row],[Fecha de ingreso]],TODAY(),"Y")</f>
        <v>5</v>
      </c>
      <c r="F29" s="8" t="s">
        <v>16</v>
      </c>
      <c r="G29" s="4">
        <v>1061</v>
      </c>
      <c r="H29" s="4">
        <v>74</v>
      </c>
      <c r="I29" s="4">
        <f>OrigenDatos[[#This Row],[Horas trabajadas año]]-OrigenDatos[[#This Row],[Horas no trabajadas año]]</f>
        <v>987</v>
      </c>
      <c r="J29" s="11">
        <v>17.96</v>
      </c>
      <c r="K29" s="6">
        <v>0.18</v>
      </c>
      <c r="L29" s="8" t="s">
        <v>21</v>
      </c>
      <c r="M29" s="5">
        <f>OrigenDatos[[#This Row],[Horas trabajadas año]]*OrigenDatos[[#This Row],[Precio hora]]</f>
        <v>19055.560000000001</v>
      </c>
      <c r="N29" s="5">
        <f>(1-OrigenDatos[[#This Row],[IRPF]])*(OrigenDatos[[#This Row],[Horas reales trabajadas]]*OrigenDatos[[#This Row],[Precio hora]])</f>
        <v>14535.746400000002</v>
      </c>
    </row>
    <row r="30" spans="1:14" x14ac:dyDescent="0.2">
      <c r="A30" s="3" t="s">
        <v>75</v>
      </c>
      <c r="B30" s="8" t="s">
        <v>76</v>
      </c>
      <c r="C30" s="8" t="s">
        <v>77</v>
      </c>
      <c r="D30" s="3" t="s">
        <v>78</v>
      </c>
      <c r="E30" s="17">
        <f ca="1">DATEDIF(OrigenDatos[[#This Row],[Fecha de ingreso]],TODAY(),"Y")</f>
        <v>5</v>
      </c>
      <c r="F30" s="8" t="s">
        <v>79</v>
      </c>
      <c r="G30" s="4">
        <v>807</v>
      </c>
      <c r="H30" s="4">
        <v>39</v>
      </c>
      <c r="I30" s="4">
        <f>OrigenDatos[[#This Row],[Horas trabajadas año]]-OrigenDatos[[#This Row],[Horas no trabajadas año]]</f>
        <v>768</v>
      </c>
      <c r="J30" s="11">
        <v>13.33</v>
      </c>
      <c r="K30" s="6">
        <v>0.17</v>
      </c>
      <c r="L30" s="8" t="s">
        <v>21</v>
      </c>
      <c r="M30" s="5">
        <f>OrigenDatos[[#This Row],[Horas trabajadas año]]*OrigenDatos[[#This Row],[Precio hora]]</f>
        <v>10757.31</v>
      </c>
      <c r="N30" s="5">
        <f>(1-OrigenDatos[[#This Row],[IRPF]])*(OrigenDatos[[#This Row],[Horas reales trabajadas]]*OrigenDatos[[#This Row],[Precio hora]])</f>
        <v>8497.0751999999993</v>
      </c>
    </row>
    <row r="31" spans="1:14" x14ac:dyDescent="0.2">
      <c r="A31" s="3" t="s">
        <v>107</v>
      </c>
      <c r="B31" s="8" t="s">
        <v>108</v>
      </c>
      <c r="C31" s="8" t="s">
        <v>109</v>
      </c>
      <c r="D31" s="3" t="s">
        <v>110</v>
      </c>
      <c r="E31" s="17">
        <f ca="1">DATEDIF(OrigenDatos[[#This Row],[Fecha de ingreso]],TODAY(),"Y")</f>
        <v>5</v>
      </c>
      <c r="F31" s="8" t="s">
        <v>69</v>
      </c>
      <c r="G31" s="4">
        <v>999</v>
      </c>
      <c r="H31" s="4">
        <v>45</v>
      </c>
      <c r="I31" s="4">
        <f>OrigenDatos[[#This Row],[Horas trabajadas año]]-OrigenDatos[[#This Row],[Horas no trabajadas año]]</f>
        <v>954</v>
      </c>
      <c r="J31" s="11">
        <v>12.73</v>
      </c>
      <c r="K31" s="6">
        <v>0.12</v>
      </c>
      <c r="L31" s="8" t="s">
        <v>21</v>
      </c>
      <c r="M31" s="5">
        <f>OrigenDatos[[#This Row],[Horas trabajadas año]]*OrigenDatos[[#This Row],[Precio hora]]</f>
        <v>12717.27</v>
      </c>
      <c r="N31" s="5">
        <f>(1-OrigenDatos[[#This Row],[IRPF]])*(OrigenDatos[[#This Row],[Horas reales trabajadas]]*OrigenDatos[[#This Row],[Precio hora]])</f>
        <v>10687.089599999999</v>
      </c>
    </row>
    <row r="32" spans="1:14" x14ac:dyDescent="0.2">
      <c r="A32" s="3" t="s">
        <v>50</v>
      </c>
      <c r="B32" t="s">
        <v>51</v>
      </c>
      <c r="C32" t="s">
        <v>52</v>
      </c>
      <c r="D32" s="7">
        <v>43902</v>
      </c>
      <c r="E32" s="17">
        <f ca="1">DATEDIF(OrigenDatos[[#This Row],[Fecha de ingreso]],TODAY(),"Y")</f>
        <v>6</v>
      </c>
      <c r="F32" t="s">
        <v>53</v>
      </c>
      <c r="G32" s="4">
        <v>980</v>
      </c>
      <c r="H32" s="4">
        <v>70</v>
      </c>
      <c r="I32" s="4">
        <f>OrigenDatos[[#This Row],[Horas trabajadas año]]-OrigenDatos[[#This Row],[Horas no trabajadas año]]</f>
        <v>910</v>
      </c>
      <c r="J32" s="5">
        <v>11.67</v>
      </c>
      <c r="K32" s="6">
        <v>0.11</v>
      </c>
      <c r="L32" t="s">
        <v>17</v>
      </c>
      <c r="M32" s="5">
        <f>OrigenDatos[[#This Row],[Horas trabajadas año]]*OrigenDatos[[#This Row],[Precio hora]]</f>
        <v>11436.6</v>
      </c>
      <c r="N32" s="5">
        <f>(1-OrigenDatos[[#This Row],[IRPF]])*(OrigenDatos[[#This Row],[Horas reales trabajadas]]*OrigenDatos[[#This Row],[Precio hora]])</f>
        <v>9451.5330000000013</v>
      </c>
    </row>
    <row r="33" spans="1:14" x14ac:dyDescent="0.2">
      <c r="A33" s="3" t="s">
        <v>30</v>
      </c>
      <c r="B33" t="s">
        <v>31</v>
      </c>
      <c r="C33" t="s">
        <v>32</v>
      </c>
      <c r="D33" s="7">
        <v>43526</v>
      </c>
      <c r="E33" s="17">
        <f ca="1">DATEDIF(OrigenDatos[[#This Row],[Fecha de ingreso]],TODAY(),"Y")</f>
        <v>7</v>
      </c>
      <c r="F33" t="s">
        <v>42</v>
      </c>
      <c r="G33" s="4">
        <v>980</v>
      </c>
      <c r="H33" s="4">
        <v>70</v>
      </c>
      <c r="I33" s="4">
        <f>OrigenDatos[[#This Row],[Horas trabajadas año]]-OrigenDatos[[#This Row],[Horas no trabajadas año]]</f>
        <v>910</v>
      </c>
      <c r="J33" s="5">
        <v>12.45</v>
      </c>
      <c r="K33" s="6">
        <v>0.11</v>
      </c>
      <c r="L33" t="s">
        <v>17</v>
      </c>
      <c r="M33" s="5">
        <f>OrigenDatos[[#This Row],[Horas trabajadas año]]*OrigenDatos[[#This Row],[Precio hora]]</f>
        <v>12201</v>
      </c>
      <c r="N33" s="5">
        <f>(1-OrigenDatos[[#This Row],[IRPF]])*(OrigenDatos[[#This Row],[Horas reales trabajadas]]*OrigenDatos[[#This Row],[Precio hora]])</f>
        <v>10083.255000000001</v>
      </c>
    </row>
    <row r="34" spans="1:14" x14ac:dyDescent="0.2">
      <c r="A34" s="3" t="s">
        <v>36</v>
      </c>
      <c r="B34" t="s">
        <v>19</v>
      </c>
      <c r="C34" t="s">
        <v>37</v>
      </c>
      <c r="D34" s="7">
        <v>43557</v>
      </c>
      <c r="E34" s="17">
        <f ca="1">DATEDIF(OrigenDatos[[#This Row],[Fecha de ingreso]],TODAY(),"Y")</f>
        <v>7</v>
      </c>
      <c r="F34" t="s">
        <v>38</v>
      </c>
      <c r="G34" s="4">
        <v>900</v>
      </c>
      <c r="H34" s="4">
        <v>50</v>
      </c>
      <c r="I34" s="4">
        <f>OrigenDatos[[#This Row],[Horas trabajadas año]]-OrigenDatos[[#This Row],[Horas no trabajadas año]]</f>
        <v>850</v>
      </c>
      <c r="J34" s="5">
        <v>10.89</v>
      </c>
      <c r="K34" s="6">
        <v>0.11</v>
      </c>
      <c r="L34" t="s">
        <v>21</v>
      </c>
      <c r="M34" s="5">
        <f>OrigenDatos[[#This Row],[Horas trabajadas año]]*OrigenDatos[[#This Row],[Precio hora]]</f>
        <v>9801</v>
      </c>
      <c r="N34" s="5">
        <f>(1-OrigenDatos[[#This Row],[IRPF]])*(OrigenDatos[[#This Row],[Horas reales trabajadas]]*OrigenDatos[[#This Row],[Precio hora]])</f>
        <v>8238.2849999999999</v>
      </c>
    </row>
    <row r="35" spans="1:14" x14ac:dyDescent="0.2">
      <c r="A35" s="3" t="s">
        <v>43</v>
      </c>
      <c r="B35" t="s">
        <v>44</v>
      </c>
      <c r="C35" t="s">
        <v>45</v>
      </c>
      <c r="D35" s="7">
        <v>43499</v>
      </c>
      <c r="E35" s="17">
        <f ca="1">DATEDIF(OrigenDatos[[#This Row],[Fecha de ingreso]],TODAY(),"Y")</f>
        <v>7</v>
      </c>
      <c r="F35" t="s">
        <v>11</v>
      </c>
      <c r="G35" s="4">
        <v>1000</v>
      </c>
      <c r="H35" s="4">
        <v>69</v>
      </c>
      <c r="I35" s="4">
        <f>OrigenDatos[[#This Row],[Horas trabajadas año]]-OrigenDatos[[#This Row],[Horas no trabajadas año]]</f>
        <v>931</v>
      </c>
      <c r="J35" s="5">
        <v>12.56</v>
      </c>
      <c r="K35" s="6">
        <v>0.11</v>
      </c>
      <c r="L35" t="s">
        <v>12</v>
      </c>
      <c r="M35" s="5">
        <f>OrigenDatos[[#This Row],[Horas trabajadas año]]*OrigenDatos[[#This Row],[Precio hora]]</f>
        <v>12560</v>
      </c>
      <c r="N35" s="5">
        <f>(1-OrigenDatos[[#This Row],[IRPF]])*(OrigenDatos[[#This Row],[Horas reales trabajadas]]*OrigenDatos[[#This Row],[Precio hora]])</f>
        <v>10407.090400000001</v>
      </c>
    </row>
    <row r="36" spans="1:14" x14ac:dyDescent="0.2">
      <c r="A36" s="3" t="s">
        <v>142</v>
      </c>
      <c r="B36" s="8"/>
      <c r="C36" s="14">
        <f>SUBTOTAL(103,OrigenDatos[Apellidos])</f>
        <v>34</v>
      </c>
      <c r="D36" s="3"/>
      <c r="E36" s="3"/>
      <c r="F36" s="8"/>
      <c r="G36" s="9">
        <f>SUBTOTAL(109,OrigenDatos[Horas trabajadas año])</f>
        <v>32208</v>
      </c>
      <c r="H36" s="9">
        <f>SUBTOTAL(109,OrigenDatos[Horas no trabajadas año])</f>
        <v>2164</v>
      </c>
      <c r="I36" s="4">
        <f>SUBTOTAL(109,OrigenDatos[Horas reales trabajadas])</f>
        <v>30044</v>
      </c>
      <c r="J36" s="11">
        <f>SUBTOTAL(104,OrigenDatos[Precio hora])</f>
        <v>21.78</v>
      </c>
      <c r="K36" s="6">
        <f>SUBTOTAL(101,OrigenDatos[IRPF])</f>
        <v>0.15117647058823533</v>
      </c>
      <c r="L36" s="8"/>
      <c r="M36" s="5">
        <f>SUBTOTAL(109,OrigenDatos[Total Anual])</f>
        <v>453177.75</v>
      </c>
      <c r="N36" s="5">
        <f>SUBTOTAL(109,OrigenDatos[Total.Neto Anual])</f>
        <v>356035.01949999999</v>
      </c>
    </row>
  </sheetData>
  <pageMargins left="0.75" right="0.75" top="1" bottom="1" header="0.5" footer="0.5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C3CCC6C743E9E4A90AF10A679C7715B" ma:contentTypeVersion="11" ma:contentTypeDescription="Crear nuevo documento." ma:contentTypeScope="" ma:versionID="d1b21e9d5c67c250017d64db3b1457b7">
  <xsd:schema xmlns:xsd="http://www.w3.org/2001/XMLSchema" xmlns:xs="http://www.w3.org/2001/XMLSchema" xmlns:p="http://schemas.microsoft.com/office/2006/metadata/properties" xmlns:ns2="19d6da38-7fc0-4a31-8000-9fbe912bf41e" xmlns:ns3="067b0014-8c97-4fc6-8dad-310f61436cdb" targetNamespace="http://schemas.microsoft.com/office/2006/metadata/properties" ma:root="true" ma:fieldsID="75ee0b1a8b42ce0f7afc743c9fe64e1e" ns2:_="" ns3:_="">
    <xsd:import namespace="19d6da38-7fc0-4a31-8000-9fbe912bf41e"/>
    <xsd:import namespace="067b0014-8c97-4fc6-8dad-310f61436c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6da38-7fc0-4a31-8000-9fbe912bf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bc501386-b836-44a0-ac47-a465dd3808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b0014-8c97-4fc6-8dad-310f61436cd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16f74d9-85a9-4a34-a2f7-a5683d12933b}" ma:internalName="TaxCatchAll" ma:showField="CatchAllData" ma:web="067b0014-8c97-4fc6-8dad-310f61436c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7b0014-8c97-4fc6-8dad-310f61436cdb" xsi:nil="true"/>
    <lcf76f155ced4ddcb4097134ff3c332f xmlns="19d6da38-7fc0-4a31-8000-9fbe912bf4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60E77A-09CE-452D-8BCE-036075893B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6da38-7fc0-4a31-8000-9fbe912bf41e"/>
    <ds:schemaRef ds:uri="067b0014-8c97-4fc6-8dad-310f61436c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880F80-F326-4B25-843A-A449261CC1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F7C4B-45FA-4935-96BA-DDE13F82E4D1}">
  <ds:schemaRefs>
    <ds:schemaRef ds:uri="http://schemas.microsoft.com/office/2006/metadata/properties"/>
    <ds:schemaRef ds:uri="http://schemas.microsoft.com/office/infopath/2007/PartnerControls"/>
    <ds:schemaRef ds:uri="067b0014-8c97-4fc6-8dad-310f61436cdb"/>
    <ds:schemaRef ds:uri="19d6da38-7fc0-4a31-8000-9fbe912bf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T.D.</vt:lpstr>
      <vt:lpstr>T.D. (0)</vt:lpstr>
      <vt:lpstr>T.D.2</vt:lpstr>
      <vt:lpstr>T.D.3</vt:lpstr>
      <vt:lpstr>T.D.4</vt:lpstr>
      <vt:lpstr>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Naiara Mega</cp:lastModifiedBy>
  <dcterms:created xsi:type="dcterms:W3CDTF">2026-05-12T10:00:36Z</dcterms:created>
  <dcterms:modified xsi:type="dcterms:W3CDTF">2026-05-14T17:58:33Z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0x0101009C3CCC6C743E9E4A90AF10A679C7715B</vt:lpwstr>
  </property>
  <property fmtid="{D5CDD505-2E9C-101B-9397-08002B2CF9AE}" pid="3" name="MediaServiceImageTags">
    <vt:lpwstr/>
  </property>
</Properties>
</file>